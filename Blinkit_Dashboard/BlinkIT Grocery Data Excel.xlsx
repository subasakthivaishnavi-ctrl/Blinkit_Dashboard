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a1641aae1d70ee51/Desktop/Excel Dashboards/"/>
    </mc:Choice>
  </mc:AlternateContent>
  <xr:revisionPtr revIDLastSave="1" documentId="13_ncr:2001_{71D79576-61EB-41C7-8664-F1D66F0A4322}" xr6:coauthVersionLast="47" xr6:coauthVersionMax="47" xr10:uidLastSave="{F87A03AE-EDA3-4E85-8A8D-F8D3D2CCC790}"/>
  <bookViews>
    <workbookView xWindow="-120" yWindow="-120" windowWidth="20730" windowHeight="11160" xr2:uid="{F8420BDF-C08E-4FBB-891B-F574F63AC6D0}"/>
  </bookViews>
  <sheets>
    <sheet name="Dashboard" sheetId="3" r:id="rId1"/>
    <sheet name="Pivot Tables" sheetId="2" r:id="rId2"/>
    <sheet name="BlinkIT Grocery Data" sheetId="1" r:id="rId3"/>
  </sheets>
  <definedNames>
    <definedName name="_xlchart.v1.0" hidden="1">'Pivot Tables'!$J$47:$J$49</definedName>
    <definedName name="_xlchart.v1.1" hidden="1">'Pivot Tables'!$K$47:$K$49</definedName>
    <definedName name="Slicer_Item_Type">#N/A</definedName>
    <definedName name="Slicer_Outlet_Location_Type">#N/A</definedName>
    <definedName name="Slicer_Outlet_Size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48" i="2" l="1"/>
  <c r="K49" i="2"/>
  <c r="K47" i="2"/>
  <c r="J48" i="2"/>
  <c r="J49" i="2"/>
  <c r="J47" i="2"/>
  <c r="C10" i="2"/>
  <c r="B10" i="2"/>
  <c r="D10" i="2"/>
  <c r="A10" i="2"/>
</calcChain>
</file>

<file path=xl/sharedStrings.xml><?xml version="1.0" encoding="utf-8"?>
<sst xmlns="http://schemas.openxmlformats.org/spreadsheetml/2006/main" count="59743" uniqueCount="1624">
  <si>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</si>
  <si>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</si>
  <si>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</si>
  <si>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</si>
  <si>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</si>
  <si>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</si>
  <si>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</si>
  <si>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</si>
  <si>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</si>
  <si>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</si>
  <si>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</si>
  <si>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</si>
  <si>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</si>
  <si>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</si>
  <si>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</si>
  <si>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</si>
  <si>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</si>
  <si>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</si>
  <si>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</si>
  <si>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</si>
  <si>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</si>
  <si>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</si>
  <si>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</si>
  <si>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</si>
  <si>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</si>
  <si>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</si>
  <si>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</si>
  <si>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</si>
  <si>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</si>
  <si>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</si>
  <si>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</si>
  <si>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</si>
  <si>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</si>
  <si>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</si>
  <si>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</si>
  <si>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</si>
  <si>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</si>
  <si>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</si>
  <si>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</si>
  <si>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</si>
  <si>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</si>
  <si>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</si>
  <si>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</si>
  <si>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</si>
  <si>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</si>
  <si>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</si>
  <si>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</si>
  <si>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</si>
  <si>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</si>
  <si>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</si>
  <si>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</si>
  <si>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</si>
  <si>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</si>
  <si>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</si>
  <si>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</si>
  <si>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</si>
  <si>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</si>
  <si>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</si>
  <si>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</si>
  <si>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</si>
  <si>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</si>
  <si>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</si>
  <si>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</si>
  <si>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</si>
  <si>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</si>
  <si>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</si>
  <si>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</si>
  <si>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</si>
  <si>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</si>
  <si>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</si>
  <si>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</si>
  <si>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</si>
  <si>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</si>
  <si>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</si>
  <si>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</si>
  <si>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</si>
  <si>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</si>
  <si>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</si>
  <si>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</si>
  <si>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</si>
  <si>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</si>
  <si>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</si>
  <si>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</si>
  <si>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</si>
  <si>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</si>
  <si>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</si>
  <si>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</si>
  <si>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</si>
  <si>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</si>
  <si>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</si>
  <si>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</si>
  <si>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</si>
  <si>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</si>
  <si>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</si>
  <si>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</si>
  <si>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</si>
  <si>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</si>
  <si>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</si>
  <si>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</si>
  <si>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</si>
  <si>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</si>
  <si>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</si>
  <si>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</si>
  <si>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</si>
  <si>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</si>
  <si>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</si>
  <si>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</si>
  <si>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</si>
  <si>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</si>
  <si>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</si>
  <si>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</si>
  <si>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</si>
  <si>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</si>
  <si>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</si>
  <si>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</si>
  <si>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</si>
  <si>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</si>
  <si>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</si>
  <si>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</si>
  <si>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</si>
  <si>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</si>
  <si>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</si>
  <si>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</si>
  <si>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</si>
  <si>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</si>
  <si>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</si>
  <si>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</si>
  <si>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</si>
  <si>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</si>
  <si>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</si>
  <si>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</si>
  <si>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</si>
  <si>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</si>
  <si>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</si>
  <si>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</si>
  <si>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</si>
  <si>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</si>
  <si>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</si>
  <si>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</si>
  <si>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</si>
  <si>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</si>
  <si>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</si>
  <si>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</si>
  <si>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</si>
  <si>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</si>
  <si>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</si>
  <si>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</si>
  <si>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</si>
  <si>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</si>
  <si>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</si>
  <si>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</si>
  <si>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</si>
  <si>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</si>
  <si>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</si>
  <si>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</si>
  <si>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</si>
  <si>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</si>
  <si>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</si>
  <si>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</si>
  <si>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</si>
  <si>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</si>
  <si>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</si>
  <si>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</si>
  <si>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</si>
  <si>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</si>
  <si>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</si>
  <si>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</si>
  <si>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</si>
  <si>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</si>
  <si>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</si>
  <si>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</si>
  <si>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</si>
  <si>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</si>
  <si>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</si>
  <si>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</si>
  <si>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</si>
  <si>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</si>
  <si>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</si>
  <si>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</si>
  <si>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</si>
  <si>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</si>
  <si>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</si>
  <si>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</si>
  <si>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</si>
  <si>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</si>
  <si>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</si>
  <si>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</si>
  <si>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</si>
  <si>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</si>
  <si>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</si>
  <si>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</si>
  <si>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</si>
  <si>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</si>
  <si>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</si>
  <si>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</si>
  <si>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</si>
  <si>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</si>
  <si>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</si>
  <si>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</si>
  <si>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</si>
  <si>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</si>
  <si>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</si>
  <si>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</si>
  <si>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</si>
  <si>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</si>
  <si>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</si>
  <si>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</si>
  <si>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</si>
  <si>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</si>
  <si>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</si>
  <si>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</si>
  <si>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</si>
  <si>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</si>
  <si>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</si>
  <si>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</si>
  <si>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</si>
  <si>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</si>
  <si>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</si>
  <si>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</si>
  <si>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</si>
  <si>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</si>
  <si>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</si>
  <si>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</si>
  <si>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</si>
  <si>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</si>
  <si>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</si>
  <si>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</si>
  <si>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</si>
  <si>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</si>
  <si>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</si>
  <si>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</si>
  <si>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</si>
  <si>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</si>
  <si>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</si>
  <si>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</si>
  <si>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</si>
  <si>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</si>
  <si>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</si>
  <si>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</si>
  <si>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</si>
  <si>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</si>
  <si>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</si>
  <si>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</si>
  <si>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</si>
  <si>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</si>
  <si>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</si>
  <si>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</si>
  <si>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</si>
  <si>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</si>
  <si>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</si>
  <si>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</si>
  <si>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</si>
  <si>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</si>
  <si>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</si>
  <si>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</si>
  <si>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</si>
  <si>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</si>
  <si>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</si>
  <si>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</si>
  <si>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</si>
  <si>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</si>
  <si>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</si>
  <si>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</si>
  <si>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</si>
  <si>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</si>
  <si>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</si>
  <si>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</si>
  <si>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</si>
  <si>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</si>
  <si>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</si>
  <si>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</si>
  <si>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</si>
  <si>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</si>
  <si>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</si>
  <si>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</si>
  <si>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</si>
  <si>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</si>
  <si>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</si>
  <si>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</si>
  <si>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</si>
  <si>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</si>
  <si>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</si>
  <si>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</si>
  <si>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</si>
  <si>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</si>
  <si>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</si>
  <si>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</si>
  <si>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</si>
  <si>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</si>
  <si>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</si>
  <si>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</si>
  <si>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</si>
  <si>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</si>
  <si>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</si>
  <si>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</si>
  <si>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</si>
  <si>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</si>
  <si>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</si>
  <si>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</si>
  <si>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</si>
  <si>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</si>
  <si>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</si>
  <si>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</si>
  <si>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</si>
  <si>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</si>
  <si>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</si>
  <si>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</si>
  <si>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</si>
  <si>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</si>
  <si>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</si>
  <si>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</si>
  <si>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</si>
  <si>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</si>
  <si>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</si>
  <si>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</si>
  <si>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</si>
  <si>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</si>
  <si>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</si>
  <si>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</si>
  <si>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</si>
  <si>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</si>
  <si>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</si>
  <si>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</si>
  <si>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</si>
  <si>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</si>
  <si>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</si>
  <si>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</si>
  <si>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</si>
  <si>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</si>
  <si>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</si>
  <si>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</si>
  <si>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</si>
  <si>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</si>
  <si>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</si>
  <si>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</si>
  <si>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</si>
  <si>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</si>
  <si>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</si>
  <si>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</si>
  <si>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</si>
  <si>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</si>
  <si>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</si>
  <si>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</si>
  <si>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</si>
  <si>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</si>
  <si>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</si>
  <si>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</si>
  <si>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</si>
  <si>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</si>
  <si>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</si>
  <si>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</si>
  <si>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</si>
  <si>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</si>
  <si>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</si>
  <si>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</si>
  <si>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</si>
  <si>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</si>
  <si>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</si>
  <si>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</si>
  <si>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</si>
  <si>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</si>
  <si>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</si>
  <si>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</si>
  <si>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</si>
  <si>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</si>
  <si>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</si>
  <si>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</si>
  <si>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</si>
  <si>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</si>
  <si>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</si>
  <si>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</si>
  <si>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</si>
  <si>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</si>
  <si>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</si>
  <si>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</si>
  <si>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</si>
  <si>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</si>
  <si>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</si>
  <si>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</si>
  <si>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</si>
  <si>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</si>
  <si>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</si>
  <si>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</si>
  <si>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</si>
  <si>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</si>
  <si>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</si>
  <si>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</si>
  <si>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</si>
  <si>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</si>
  <si>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</si>
  <si>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</si>
  <si>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</si>
  <si>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</si>
  <si>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</si>
  <si>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</si>
  <si>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</si>
  <si>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</si>
  <si>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</si>
  <si>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</si>
  <si>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</si>
  <si>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</si>
  <si>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</si>
  <si>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</si>
  <si>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</si>
  <si>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</si>
  <si>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</si>
  <si>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</si>
  <si>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</si>
  <si>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</si>
  <si>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</si>
  <si>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</si>
  <si>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</si>
  <si>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</si>
  <si>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</si>
  <si>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</si>
  <si>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</si>
  <si>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</si>
  <si>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</si>
  <si>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</si>
  <si>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</si>
  <si>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</si>
  <si>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</si>
  <si>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</si>
  <si>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</si>
  <si>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</si>
  <si>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</si>
  <si>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</si>
  <si>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</si>
  <si>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</si>
  <si>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</si>
  <si>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</si>
  <si>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</si>
  <si>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</si>
  <si>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</si>
  <si>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</si>
  <si>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</si>
  <si>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</si>
  <si>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</si>
  <si>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</si>
  <si>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</si>
  <si>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</si>
  <si>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</si>
  <si>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</si>
  <si>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</si>
  <si>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</si>
  <si>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</si>
  <si>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</si>
  <si>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</si>
  <si>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</si>
  <si>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</si>
  <si>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</si>
  <si>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</si>
  <si>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</si>
  <si>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</si>
  <si>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</si>
  <si>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</si>
  <si>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</si>
  <si>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</si>
  <si>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</si>
  <si>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</si>
  <si>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</si>
  <si>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</si>
  <si>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</si>
  <si>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</si>
  <si>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</si>
  <si>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</si>
  <si>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</si>
  <si>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</si>
  <si>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</si>
  <si>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</si>
  <si>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</si>
  <si>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</si>
  <si>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</si>
  <si>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</si>
  <si>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</si>
  <si>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</si>
  <si>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</si>
  <si>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</si>
  <si>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</si>
  <si>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</si>
  <si>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</si>
  <si>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</si>
  <si>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</si>
  <si>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</si>
  <si>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</si>
  <si>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</si>
  <si>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</si>
  <si>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</si>
  <si>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</si>
  <si>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</si>
  <si>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</si>
  <si>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</si>
  <si>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</si>
  <si>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</si>
  <si>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</si>
  <si>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</si>
  <si>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</si>
  <si>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</si>
  <si>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</si>
  <si>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</si>
  <si>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</si>
  <si>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</si>
  <si>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</si>
  <si>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</si>
  <si>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</si>
  <si>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</si>
  <si>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</si>
  <si>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</si>
  <si>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</si>
  <si>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</si>
  <si>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</si>
  <si>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</si>
  <si>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</si>
  <si>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</si>
  <si>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</si>
  <si>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</si>
  <si>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</si>
  <si>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</si>
  <si>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</si>
  <si>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</si>
  <si>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</si>
  <si>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</si>
  <si>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</si>
  <si>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</si>
  <si>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</si>
  <si>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</si>
  <si>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</si>
  <si>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</si>
  <si>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</si>
  <si>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</si>
  <si>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</si>
  <si>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</si>
  <si>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</si>
  <si>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</si>
  <si>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</si>
  <si>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</si>
  <si>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</si>
  <si>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</si>
  <si>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</si>
  <si>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</si>
  <si>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</si>
  <si>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</si>
  <si>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</si>
  <si>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</si>
  <si>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</si>
  <si>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</si>
  <si>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</si>
  <si>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</si>
  <si>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</si>
  <si>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</si>
  <si>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</si>
  <si>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</si>
  <si>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</si>
  <si>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</si>
  <si>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</si>
  <si>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</si>
  <si>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</si>
  <si>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</si>
  <si>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</si>
  <si>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</si>
  <si>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</si>
  <si>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</si>
  <si>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</si>
  <si>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</si>
  <si>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</si>
  <si>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</si>
  <si>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</si>
  <si>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</si>
  <si>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</si>
  <si>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</si>
  <si>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</si>
  <si>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</si>
  <si>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</si>
  <si>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</si>
  <si>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</si>
  <si>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</si>
  <si>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</si>
  <si>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</si>
  <si>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</si>
  <si>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</si>
  <si>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</si>
  <si>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</si>
  <si>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</si>
  <si>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</si>
  <si>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</si>
  <si>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</si>
  <si>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</si>
  <si>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</si>
  <si>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</si>
  <si>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</si>
  <si>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</si>
  <si>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</si>
  <si>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</si>
  <si>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</si>
  <si>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</si>
  <si>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</si>
  <si>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</si>
  <si>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</si>
  <si>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</si>
  <si>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</si>
  <si>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</si>
  <si>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</si>
  <si>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</si>
  <si>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</si>
  <si>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</si>
  <si>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</si>
  <si>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</si>
  <si>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</si>
  <si>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</si>
  <si>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</si>
  <si>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</si>
  <si>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</si>
  <si>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</si>
  <si>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</si>
  <si>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</si>
  <si>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</si>
  <si>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</si>
  <si>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</si>
  <si>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</si>
  <si>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</si>
  <si>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</si>
  <si>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</si>
  <si>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</si>
  <si>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</si>
  <si>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</si>
  <si>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</si>
  <si>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</si>
  <si>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</si>
  <si>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</si>
  <si>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</si>
  <si>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</si>
  <si>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</si>
  <si>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</si>
  <si>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</si>
  <si>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</si>
  <si>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</si>
  <si>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</si>
  <si>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</si>
  <si>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</si>
  <si>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</si>
  <si>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</si>
  <si>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</si>
  <si>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</si>
  <si>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</si>
  <si>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</si>
  <si>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</si>
  <si>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</si>
  <si>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</si>
  <si>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</si>
  <si>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</si>
  <si>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</si>
  <si>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</si>
  <si>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</si>
  <si>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</si>
  <si>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</si>
  <si>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</si>
  <si>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</si>
  <si>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</si>
  <si>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</si>
  <si>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</si>
  <si>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</si>
  <si>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</si>
  <si>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</si>
  <si>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</si>
  <si>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</si>
  <si>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</si>
  <si>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</si>
  <si>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</si>
  <si>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</si>
  <si>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</si>
  <si>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</si>
  <si>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</si>
  <si>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</si>
  <si>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</si>
  <si>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</si>
  <si>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</si>
  <si>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</si>
  <si>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</si>
  <si>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</si>
  <si>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</si>
  <si>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</si>
  <si>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</si>
  <si>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</si>
  <si>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</si>
  <si>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</si>
  <si>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</si>
  <si>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</si>
  <si>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</si>
  <si>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</si>
  <si>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</si>
  <si>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</si>
  <si>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</si>
  <si>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</si>
  <si>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</si>
  <si>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</si>
  <si>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</si>
  <si>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</si>
  <si>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</si>
  <si>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</si>
  <si>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</si>
  <si>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</si>
  <si>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</si>
  <si>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</si>
  <si>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</si>
  <si>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</si>
  <si>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</si>
  <si>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</si>
  <si>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</si>
  <si>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</si>
  <si>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</si>
  <si>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</si>
  <si>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</si>
  <si>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</si>
  <si>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</si>
  <si>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</si>
  <si>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</si>
  <si>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</si>
  <si>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</si>
  <si>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</si>
  <si>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</si>
  <si>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</si>
  <si>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</si>
  <si>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</si>
  <si>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</si>
  <si>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</si>
  <si>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</si>
  <si>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</si>
  <si>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</si>
  <si>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</si>
  <si>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</si>
  <si>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</si>
  <si>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</si>
  <si>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</si>
  <si>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</si>
  <si>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</si>
  <si>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</si>
  <si>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</si>
  <si>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</si>
  <si>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</si>
  <si>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</si>
  <si>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</si>
  <si>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</si>
  <si>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</si>
  <si>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</si>
  <si>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</si>
  <si>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</si>
  <si>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</si>
  <si>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</si>
  <si>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</si>
  <si>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</si>
  <si>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</si>
  <si>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</si>
  <si>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</si>
  <si>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</si>
  <si>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</si>
  <si>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</si>
  <si>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</si>
  <si>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</si>
  <si>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</si>
  <si>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</si>
  <si>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</si>
  <si>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</si>
  <si>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</si>
  <si>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</si>
  <si>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</si>
  <si>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</si>
  <si>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</si>
  <si>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</si>
  <si>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</si>
  <si>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</si>
  <si>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</si>
  <si>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</si>
  <si>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</si>
  <si>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</si>
  <si>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</si>
  <si>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</si>
  <si>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</si>
  <si>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</si>
  <si>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</si>
  <si>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</si>
  <si>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</si>
  <si>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</si>
  <si>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</si>
  <si>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</si>
  <si>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</si>
  <si>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</si>
  <si>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</si>
  <si>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</si>
  <si>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</si>
  <si>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</si>
  <si>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</si>
  <si>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</si>
  <si>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</si>
  <si>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</si>
  <si>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</si>
  <si>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</si>
  <si>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</si>
  <si>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</si>
  <si>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</si>
  <si>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</si>
  <si>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</si>
  <si>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</si>
  <si>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</si>
  <si>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</si>
  <si>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</si>
  <si>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</si>
  <si>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</si>
  <si>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</si>
  <si>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</si>
  <si>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</si>
  <si>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</si>
  <si>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</si>
  <si>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</si>
  <si>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</si>
  <si>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</si>
  <si>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</si>
  <si>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</si>
  <si>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</si>
  <si>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</si>
  <si>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</si>
  <si>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</si>
  <si>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</si>
  <si>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</si>
  <si>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</si>
  <si>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</si>
  <si>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</si>
  <si>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</si>
  <si>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</si>
  <si>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</si>
  <si>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</si>
  <si>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</si>
  <si>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</si>
  <si>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</si>
  <si>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</si>
  <si>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</si>
  <si>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</si>
  <si>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</si>
  <si>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</si>
  <si>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</si>
  <si>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</si>
  <si>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</si>
  <si>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</si>
  <si>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</si>
  <si>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</si>
  <si>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</si>
  <si>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</si>
  <si>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</si>
  <si>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</si>
  <si>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</si>
  <si>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</si>
  <si>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</si>
  <si>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</si>
  <si>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</si>
  <si>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</si>
  <si>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</si>
  <si>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</si>
  <si>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</si>
  <si>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</si>
  <si>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</si>
  <si>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</si>
  <si>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</si>
  <si>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</si>
  <si>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</si>
  <si>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</si>
  <si>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</si>
  <si>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</si>
  <si>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</si>
  <si>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</si>
  <si>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</si>
  <si>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</si>
  <si>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</si>
  <si>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</si>
  <si>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</si>
  <si>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</si>
  <si>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</si>
  <si>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</si>
  <si>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</si>
  <si>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</si>
  <si>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</si>
  <si>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</si>
  <si>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</si>
  <si>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</si>
  <si>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</si>
  <si>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</si>
  <si>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</si>
  <si>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</si>
  <si>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</si>
  <si>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</si>
  <si>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</si>
  <si>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</si>
  <si>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</si>
  <si>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</si>
  <si>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</si>
  <si>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</si>
  <si>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</si>
  <si>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</si>
  <si>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</si>
  <si>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</si>
  <si>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</si>
  <si>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</si>
  <si>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</si>
  <si>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</si>
  <si>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</si>
  <si>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</si>
  <si>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</si>
  <si>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</si>
  <si>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</si>
  <si>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</si>
  <si>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</si>
  <si>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</si>
  <si>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</si>
  <si>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</si>
  <si>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</si>
  <si>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</si>
  <si>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</si>
  <si>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</si>
  <si>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</si>
  <si>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</si>
  <si>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</si>
  <si>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</si>
  <si>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</si>
  <si>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</si>
  <si>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</si>
  <si>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</si>
  <si>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</si>
  <si>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</si>
  <si>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</si>
  <si>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</si>
  <si>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</si>
  <si>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</si>
  <si>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</si>
  <si>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</si>
  <si>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</si>
  <si>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</si>
  <si>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</si>
  <si>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</si>
  <si>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</si>
  <si>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</si>
  <si>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</si>
  <si>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</si>
  <si>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</si>
  <si>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</si>
  <si>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</si>
  <si>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</si>
  <si>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</si>
  <si>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</si>
  <si>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</si>
  <si>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</si>
  <si>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</si>
  <si>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</si>
  <si>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</si>
  <si>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</si>
  <si>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</si>
  <si>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</si>
  <si>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</si>
  <si>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</si>
  <si>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</si>
  <si>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</si>
  <si>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</si>
  <si>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</si>
  <si>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</si>
  <si>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</si>
  <si>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</si>
  <si>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</si>
  <si>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</si>
  <si>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</si>
  <si>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</si>
  <si>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</si>
  <si>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</si>
  <si>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</si>
  <si>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</si>
  <si>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</si>
  <si>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</si>
  <si>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</si>
  <si>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</si>
  <si>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</si>
  <si>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</si>
  <si>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</si>
  <si>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</si>
  <si>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</si>
  <si>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</si>
  <si>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</si>
  <si>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</si>
  <si>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</si>
  <si>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</si>
  <si>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</si>
  <si>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</si>
  <si>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</si>
  <si>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</si>
  <si>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</si>
  <si>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</si>
  <si>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</si>
  <si>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</si>
  <si>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</si>
  <si>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</si>
  <si>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</si>
  <si>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</si>
  <si>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</si>
  <si>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</si>
  <si>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</si>
  <si>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</si>
  <si>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</si>
  <si>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</si>
  <si>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</si>
  <si>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</si>
  <si>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</si>
  <si>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</si>
  <si>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</si>
  <si>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</si>
  <si>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</si>
  <si>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</si>
  <si>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</si>
  <si>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</si>
  <si>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</si>
  <si>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</si>
  <si>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</si>
  <si>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</si>
  <si>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</si>
  <si>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</si>
  <si>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</si>
  <si>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</si>
  <si>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</si>
  <si>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</si>
  <si>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</si>
  <si>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</si>
  <si>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</si>
  <si>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</si>
  <si>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</si>
  <si>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</si>
  <si>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</si>
  <si>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</si>
  <si>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</si>
  <si>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</si>
  <si>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</si>
  <si>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</si>
  <si>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</si>
  <si>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</si>
  <si>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</si>
  <si>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</si>
  <si>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</si>
  <si>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</si>
  <si>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</si>
  <si>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</si>
  <si>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</si>
  <si>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</si>
  <si>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</si>
  <si>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</si>
  <si>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</si>
  <si>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</si>
  <si>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</si>
  <si>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</si>
  <si>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</si>
  <si>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</si>
  <si>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</si>
  <si>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</si>
  <si>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</si>
  <si>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</si>
  <si>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</si>
  <si>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</si>
  <si>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</si>
  <si>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</si>
  <si>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</si>
  <si>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</si>
  <si>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</si>
  <si>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</si>
  <si>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</si>
  <si>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</si>
  <si>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</si>
  <si>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</si>
  <si>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</si>
  <si>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</si>
  <si>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</si>
  <si>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</si>
  <si>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</si>
  <si>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</si>
  <si>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</si>
  <si>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</si>
  <si>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</si>
  <si>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</si>
  <si>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</si>
  <si>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</si>
  <si>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</si>
  <si>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</si>
  <si>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</si>
  <si>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</si>
  <si>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</si>
  <si>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</si>
  <si>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</si>
  <si>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</si>
  <si>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</si>
  <si>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</si>
  <si>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</si>
  <si>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</si>
  <si>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</si>
  <si>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</si>
  <si>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</si>
  <si>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</si>
  <si>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</si>
  <si>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</si>
  <si>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</si>
  <si>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</si>
  <si>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</si>
  <si>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</si>
  <si>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</si>
  <si>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</si>
  <si>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</si>
  <si>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</si>
  <si>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</si>
  <si>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</si>
  <si>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</si>
  <si>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</si>
  <si>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</si>
  <si>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</si>
  <si>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</si>
  <si>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</si>
  <si>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</si>
  <si>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</si>
  <si>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</si>
  <si>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</si>
  <si>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</si>
  <si>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</si>
  <si>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</si>
  <si>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</si>
  <si>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</si>
  <si>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</si>
  <si>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</si>
  <si>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</si>
  <si>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</si>
  <si>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</si>
  <si>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</si>
  <si>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</si>
  <si>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</si>
  <si>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</si>
  <si>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</si>
  <si>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</si>
  <si>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</si>
  <si>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</si>
  <si>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</si>
  <si>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</si>
  <si>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</si>
  <si>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</si>
  <si>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</si>
  <si>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</si>
  <si>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</si>
  <si>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</si>
  <si>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</si>
  <si>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</si>
  <si>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</si>
  <si>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</si>
  <si>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</si>
  <si>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</si>
  <si>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</si>
  <si>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</si>
  <si>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</si>
  <si>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</si>
  <si>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</si>
  <si>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</si>
  <si>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</si>
  <si>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</si>
  <si>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</si>
  <si>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</si>
  <si>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</si>
  <si>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</si>
  <si>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</si>
  <si>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</si>
  <si>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</si>
  <si>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</si>
  <si>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</si>
  <si>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</si>
  <si>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</si>
  <si>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</si>
  <si>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</si>
  <si>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</si>
  <si>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</si>
  <si>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</si>
  <si>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</si>
  <si>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</si>
  <si>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</si>
  <si>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</si>
  <si>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</si>
  <si>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</si>
  <si>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</si>
  <si>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</si>
  <si>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</si>
  <si>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</si>
  <si>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</si>
  <si>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</si>
  <si>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</si>
  <si>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</si>
  <si>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</si>
  <si>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</si>
  <si>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</si>
  <si>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</si>
  <si>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</si>
  <si>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</si>
  <si>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</si>
  <si>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</si>
  <si>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</si>
  <si>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</si>
  <si>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</si>
  <si>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</si>
  <si>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</si>
  <si>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</si>
  <si>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</si>
  <si>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</si>
  <si>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</si>
  <si>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</si>
  <si>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</si>
  <si>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</si>
  <si>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</si>
  <si>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</si>
  <si>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</si>
  <si>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</si>
  <si>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</si>
  <si>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</si>
  <si>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</si>
  <si>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</si>
  <si>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</si>
  <si>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</si>
  <si>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</si>
  <si>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</si>
  <si>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</si>
  <si>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</si>
  <si>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</si>
  <si>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</si>
  <si>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</si>
  <si>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</si>
  <si>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</si>
  <si>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</si>
  <si>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</si>
  <si>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</si>
  <si>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</si>
  <si>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</si>
  <si>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</si>
  <si>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</si>
  <si>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</si>
  <si>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</si>
  <si>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</si>
  <si>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</si>
  <si>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</si>
  <si>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</si>
  <si>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</si>
  <si>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</si>
  <si>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</si>
  <si>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</si>
  <si>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</si>
  <si>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</si>
  <si>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</si>
  <si>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</si>
  <si>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</si>
  <si>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</si>
  <si>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</si>
  <si>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</si>
  <si>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</si>
  <si>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</si>
  <si>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</si>
  <si>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</si>
  <si>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</si>
  <si>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</si>
  <si>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</si>
  <si>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</si>
  <si>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</si>
  <si>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</si>
  <si>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</si>
  <si>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</si>
  <si>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</si>
  <si>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</si>
  <si>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</si>
  <si>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</si>
  <si>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</si>
  <si>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</si>
  <si>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</si>
  <si>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</si>
  <si>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</si>
  <si>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</si>
  <si>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</si>
  <si>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</si>
  <si>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</si>
  <si>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</si>
  <si>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</si>
  <si>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</si>
  <si>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</si>
  <si>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</si>
  <si>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</si>
  <si>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</si>
  <si>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</si>
  <si>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</si>
  <si>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</si>
  <si>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</si>
  <si>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</si>
  <si>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</si>
  <si>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</si>
  <si>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</si>
  <si>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</si>
  <si>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</si>
  <si>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</si>
  <si>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</si>
  <si>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</si>
  <si>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</si>
  <si>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</si>
  <si>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</si>
  <si>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</si>
  <si>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</si>
  <si>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</si>
  <si>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</si>
  <si>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</si>
  <si>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</si>
  <si>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</si>
  <si>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</si>
  <si>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</si>
  <si>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</si>
  <si>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</si>
  <si>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</si>
  <si>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</si>
  <si>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</si>
  <si>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</si>
  <si>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</si>
  <si>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</si>
  <si>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</si>
  <si>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</si>
  <si>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</si>
  <si>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</si>
  <si>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</si>
  <si>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</si>
  <si>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</si>
  <si>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</si>
  <si>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</si>
  <si>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</si>
  <si>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</si>
  <si>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</si>
  <si>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</si>
  <si>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</si>
  <si>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</si>
  <si>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</si>
  <si>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</si>
  <si>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</si>
  <si>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</si>
  <si>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</si>
  <si>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</si>
  <si>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</si>
  <si>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</si>
  <si>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</si>
  <si>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</si>
  <si>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</si>
  <si>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</si>
  <si>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</si>
  <si>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</si>
  <si>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</si>
  <si>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</si>
  <si>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</si>
  <si>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</si>
  <si>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</si>
  <si>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</si>
  <si>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</si>
  <si>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</si>
  <si>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</si>
  <si>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</si>
  <si>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</si>
  <si>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</si>
  <si>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</si>
  <si>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</si>
  <si>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</si>
  <si>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</si>
  <si>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</si>
  <si>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</si>
  <si>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</si>
  <si>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</si>
  <si>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</si>
  <si>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</si>
  <si>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</si>
  <si>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</si>
  <si>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</si>
  <si>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</si>
  <si>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</si>
  <si>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</si>
  <si>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</si>
  <si>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</si>
  <si>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</si>
  <si>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</si>
  <si>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</si>
  <si>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</si>
  <si>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</si>
  <si>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</si>
  <si>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</si>
  <si>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</si>
  <si>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</si>
  <si>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</si>
  <si>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</si>
  <si>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</si>
  <si>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</si>
  <si>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</si>
  <si>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</si>
  <si>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</si>
  <si>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</si>
  <si>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</si>
  <si>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</si>
  <si>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</si>
  <si>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</si>
  <si>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</si>
  <si>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</si>
  <si>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</si>
  <si>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</si>
  <si>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</si>
  <si>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</si>
  <si>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</si>
  <si>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</si>
  <si>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</si>
  <si>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</si>
  <si>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</si>
  <si>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</si>
  <si>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</si>
  <si>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</si>
  <si>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</si>
  <si>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</si>
  <si>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</si>
  <si>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</si>
  <si>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</si>
  <si>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</si>
  <si>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</si>
  <si>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</si>
  <si>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</si>
  <si>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</si>
  <si>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</si>
  <si>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</si>
  <si>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</si>
  <si>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</si>
  <si>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</si>
  <si>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</si>
  <si>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</si>
  <si>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</si>
  <si>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</si>
  <si>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</si>
  <si>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</si>
  <si>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</si>
  <si>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</si>
  <si>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</si>
  <si>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</si>
  <si>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</si>
  <si>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</si>
  <si>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</si>
  <si>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</si>
  <si>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</si>
  <si>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</si>
  <si>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</si>
  <si>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</si>
  <si>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</si>
  <si>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</si>
  <si>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</si>
  <si>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</si>
  <si>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</si>
  <si>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</si>
  <si>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</si>
  <si>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</si>
  <si>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</si>
  <si>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</si>
  <si>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</si>
  <si>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</si>
  <si>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</si>
  <si>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</si>
  <si>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</si>
  <si>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</si>
  <si>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</si>
  <si>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</si>
  <si>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</si>
  <si>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</si>
  <si>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</si>
  <si>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</si>
  <si>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</si>
  <si>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</si>
  <si>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</si>
  <si>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</si>
  <si>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</si>
  <si>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</si>
  <si>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</si>
  <si>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</si>
  <si>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</si>
  <si>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</si>
  <si>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</si>
  <si>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</si>
  <si>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</si>
  <si>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</si>
  <si>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</si>
  <si>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</si>
  <si>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</si>
  <si>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</si>
  <si>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</si>
  <si>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</si>
  <si>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</si>
  <si>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</si>
  <si>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</si>
  <si>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</si>
  <si>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</si>
  <si>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</si>
  <si>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</si>
  <si>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</si>
  <si>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</si>
  <si>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</si>
  <si>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</si>
  <si>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</si>
  <si>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</si>
  <si>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</si>
  <si>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</si>
  <si>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</si>
  <si>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</si>
  <si>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</si>
  <si>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</si>
  <si>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</si>
  <si>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</si>
  <si>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</si>
  <si>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</si>
  <si>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</si>
  <si>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</si>
  <si>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</si>
  <si>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</si>
  <si>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</si>
  <si>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</si>
  <si>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</si>
  <si>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</si>
  <si>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</si>
  <si>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</si>
  <si>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</si>
  <si>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</si>
  <si>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</si>
  <si>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</si>
  <si>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</si>
  <si>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</si>
  <si>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</si>
  <si>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</si>
  <si>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</si>
  <si>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</si>
  <si>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</si>
  <si>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</si>
  <si>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</si>
  <si>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</si>
  <si>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</si>
  <si>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</si>
  <si>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</si>
  <si>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</si>
  <si>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</si>
  <si>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</si>
  <si>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</si>
  <si>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</si>
  <si>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</si>
  <si>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</si>
  <si>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</si>
  <si>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</si>
  <si>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</si>
  <si>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</si>
  <si>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</si>
  <si>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</si>
  <si>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</si>
  <si>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</si>
  <si>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</si>
  <si>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</si>
  <si>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</si>
  <si>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</si>
  <si>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</si>
  <si>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</si>
  <si>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</si>
  <si>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</si>
  <si>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</si>
  <si>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</si>
  <si>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</si>
  <si>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</si>
  <si>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</si>
  <si>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</si>
  <si>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</si>
  <si>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</si>
  <si>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</si>
  <si>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</si>
  <si>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</si>
  <si>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</si>
  <si>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</si>
  <si>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</si>
  <si>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</si>
  <si>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</si>
  <si>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</si>
  <si>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</si>
  <si>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</si>
  <si>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</si>
  <si>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</si>
  <si>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</si>
  <si>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</si>
  <si>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</si>
  <si>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</si>
  <si>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</si>
  <si>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</si>
  <si>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</si>
  <si>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</si>
  <si>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</si>
  <si>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</si>
  <si>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</si>
  <si>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</si>
  <si>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</si>
  <si>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</si>
  <si>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</si>
  <si>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</si>
  <si>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</si>
  <si>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</si>
  <si>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</si>
  <si>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</si>
  <si>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</si>
  <si>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</si>
  <si>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</si>
  <si>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</si>
  <si>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</si>
  <si>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</si>
  <si>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</si>
  <si>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</si>
  <si>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</si>
  <si>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</si>
  <si>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</si>
  <si>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SL No</t>
  </si>
  <si>
    <t>Number of Items</t>
  </si>
  <si>
    <t>Average of Rating</t>
  </si>
  <si>
    <t>Total Sales</t>
  </si>
  <si>
    <t>Avg Sales</t>
  </si>
  <si>
    <t>No of Items</t>
  </si>
  <si>
    <t>Avg Rating</t>
  </si>
  <si>
    <t>KPI'S</t>
  </si>
  <si>
    <t>Row Labels</t>
  </si>
  <si>
    <t>Column Labels</t>
  </si>
  <si>
    <t>Average of Sales</t>
  </si>
  <si>
    <t>Count of SL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</si>
</sst>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quot;$&quot;0.0,&quot;K&quot;"/>
    <numFmt numFmtId="168" formatCode="&quot;$&quot;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5" fontId="0" fillId="0" borderId="0" xfId="0" applyNumberFormat="1"/>
    <xf numFmtId="164" fontId="0" fillId="0" borderId="14" xfId="0" applyNumberFormat="1" applyBorder="1"/>
    <xf numFmtId="0" fontId="0" fillId="0" borderId="15" xfId="0" applyBorder="1"/>
    <xf numFmtId="0" fontId="0" fillId="0" borderId="16" xfId="0" applyBorder="1"/>
    <xf numFmtId="0" fontId="0" fillId="0" borderId="17" xfId="0" applyBorder="1"/>
    <xf numFmtId="166" fontId="0" fillId="0" borderId="13" xfId="0" applyNumberFormat="1" applyBorder="1"/>
    <xf numFmtId="0" fontId="0" fillId="0" borderId="13" xfId="0" pivotButton="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67" fontId="0" fillId="0" borderId="0" xfId="0" applyNumberFormat="1"/>
    <xf numFmtId="167" fontId="0" fillId="0" borderId="14" xfId="0" applyNumberFormat="1" applyBorder="1"/>
    <xf numFmtId="167" fontId="0" fillId="0" borderId="17" xfId="0" applyNumberFormat="1" applyBorder="1"/>
    <xf numFmtId="167" fontId="0" fillId="0" borderId="18" xfId="0" applyNumberFormat="1" applyBorder="1"/>
    <xf numFmtId="167" fontId="0" fillId="0" borderId="19" xfId="0" applyNumberFormat="1" applyBorder="1"/>
    <xf numFmtId="0" fontId="0" fillId="0" borderId="11" xfId="0" pivotButton="1" applyBorder="1"/>
    <xf numFmtId="167" fontId="0" fillId="0" borderId="20"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8" fontId="0" fillId="0" borderId="18" xfId="0" applyNumberFormat="1" applyBorder="1"/>
    <xf numFmtId="168" fontId="0" fillId="0" borderId="20" xfId="0" applyNumberFormat="1" applyBorder="1"/>
    <xf numFmtId="168" fontId="0" fillId="0" borderId="19" xfId="0" applyNumberFormat="1" applyBorder="1"/>
    <xf numFmtId="0" fontId="0" fillId="0" borderId="18" xfId="0" applyBorder="1"/>
    <xf numFmtId="0" fontId="0" fillId="0" borderId="20" xfId="0" applyBorder="1"/>
    <xf numFmtId="0" fontId="0" fillId="0" borderId="19" xfId="0" applyBorder="1"/>
    <xf numFmtId="0" fontId="0" fillId="0" borderId="21" xfId="0" applyBorder="1"/>
    <xf numFmtId="0" fontId="0" fillId="0" borderId="22" xfId="0" applyBorder="1"/>
    <xf numFmtId="2" fontId="0" fillId="0" borderId="23" xfId="0" applyNumberFormat="1" applyBorder="1"/>
    <xf numFmtId="0" fontId="0" fillId="0" borderId="23" xfId="0" applyBorder="1"/>
    <xf numFmtId="0" fontId="18" fillId="0" borderId="0" xfId="0" applyFont="1" applyAlignment="1">
      <alignment horizontal="center"/>
    </xf>
    <xf numFmtId="0" fontId="0" fillId="0" borderId="0" xfId="0" applyAlignment="1">
      <alignment horizontal="center"/>
    </xf>
    <xf numFmtId="0" fontId="0" fillId="0" borderId="16"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Blinkit Analysis" pivot="0" table="0" count="10" xr9:uid="{B501EAB6-CEFC-4493-B110-2AE2F17C284A}">
      <tableStyleElement type="wholeTable" dxfId="38"/>
      <tableStyleElement type="headerRow" dxfId="37"/>
    </tableStyle>
  </tableStyles>
  <colors>
    <mruColors>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rgbClr val="D09E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D09E00"/>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0.17325879071797931"/>
              <c:y val="-0.04"/>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592462539874229"/>
                  <c:h val="0.23053368328958884"/>
                </c:manualLayout>
              </c15:layout>
            </c:ext>
          </c:extLst>
        </c:dLbl>
      </c:pivotFmt>
      <c:pivotFmt>
        <c:idx val="8"/>
        <c:spPr>
          <a:solidFill>
            <a:schemeClr val="accent6">
              <a:lumMod val="75000"/>
            </a:schemeClr>
          </a:solidFill>
          <a:ln w="19050">
            <a:solidFill>
              <a:schemeClr val="lt1"/>
            </a:solidFill>
          </a:ln>
          <a:effectLst/>
        </c:spPr>
        <c:dLbl>
          <c:idx val="0"/>
          <c:layout>
            <c:manualLayout>
              <c:x val="-0.16949142489053493"/>
              <c:y val="-1.7777777777777809E-2"/>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259871429706877"/>
                  <c:h val="0.27497812773403324"/>
                </c:manualLayout>
              </c15:layout>
            </c:ext>
          </c:extLst>
        </c:dLbl>
      </c:pivotFmt>
    </c:pivotFmts>
    <c:plotArea>
      <c:layout>
        <c:manualLayout>
          <c:layoutTarget val="inner"/>
          <c:xMode val="edge"/>
          <c:yMode val="edge"/>
          <c:x val="0.31114195932796512"/>
          <c:y val="0.27195712277310508"/>
          <c:w val="0.47222023841406441"/>
          <c:h val="0.68824191962212278"/>
        </c:manualLayout>
      </c:layout>
      <c:doughnutChart>
        <c:varyColors val="1"/>
        <c:ser>
          <c:idx val="0"/>
          <c:order val="0"/>
          <c:tx>
            <c:strRef>
              <c:f>'Pivot Tables'!$B$16</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8808-4013-A2D7-2F0952A73F9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808-4013-A2D7-2F0952A73F92}"/>
              </c:ext>
            </c:extLst>
          </c:dPt>
          <c:dLbls>
            <c:dLbl>
              <c:idx val="0"/>
              <c:layout>
                <c:manualLayout>
                  <c:x val="0.17325879071797931"/>
                  <c:y val="-0.04"/>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92462539874229"/>
                      <c:h val="0.23053368328958884"/>
                    </c:manualLayout>
                  </c15:layout>
                </c:ext>
                <c:ext xmlns:c16="http://schemas.microsoft.com/office/drawing/2014/chart" uri="{C3380CC4-5D6E-409C-BE32-E72D297353CC}">
                  <c16:uniqueId val="{00000001-8808-4013-A2D7-2F0952A73F92}"/>
                </c:ext>
              </c:extLst>
            </c:dLbl>
            <c:dLbl>
              <c:idx val="1"/>
              <c:layout>
                <c:manualLayout>
                  <c:x val="-0.16949142489053493"/>
                  <c:y val="-1.7777777777777809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6259871429706877"/>
                      <c:h val="0.27497812773403324"/>
                    </c:manualLayout>
                  </c15:layout>
                </c:ext>
                <c:ext xmlns:c16="http://schemas.microsoft.com/office/drawing/2014/chart" uri="{C3380CC4-5D6E-409C-BE32-E72D297353CC}">
                  <c16:uniqueId val="{00000003-8808-4013-A2D7-2F0952A73F92}"/>
                </c:ext>
              </c:extLst>
            </c:dLbl>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Tables'!$A$17:$A$18</c:f>
              <c:strCache>
                <c:ptCount val="2"/>
                <c:pt idx="0">
                  <c:v>Low Fat</c:v>
                </c:pt>
                <c:pt idx="1">
                  <c:v>Regular</c:v>
                </c:pt>
              </c:strCache>
            </c:strRef>
          </c:cat>
          <c:val>
            <c:numRef>
              <c:f>'Pivot Tables'!$B$17:$B$18</c:f>
              <c:numCache>
                <c:formatCode>"$"0.0,"K"</c:formatCode>
                <c:ptCount val="2"/>
                <c:pt idx="0">
                  <c:v>776319.68840000057</c:v>
                </c:pt>
                <c:pt idx="1">
                  <c:v>425361.8043999995</c:v>
                </c:pt>
              </c:numCache>
            </c:numRef>
          </c:val>
          <c:extLst>
            <c:ext xmlns:c16="http://schemas.microsoft.com/office/drawing/2014/chart" uri="{C3380CC4-5D6E-409C-BE32-E72D297353CC}">
              <c16:uniqueId val="{00000004-8808-4013-A2D7-2F0952A73F92}"/>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19373039749564058"/>
          <c:y val="0.11415165355742213"/>
          <c:w val="0.7211891541240395"/>
          <c:h val="0.1460822641925004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8"/>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Tables'!$A$23:$A$25</c:f>
              <c:strCache>
                <c:ptCount val="3"/>
                <c:pt idx="0">
                  <c:v>Tier 1</c:v>
                </c:pt>
                <c:pt idx="1">
                  <c:v>Tier 2</c:v>
                </c:pt>
                <c:pt idx="2">
                  <c:v>Tier 3</c:v>
                </c:pt>
              </c:strCache>
            </c:strRef>
          </c:cat>
          <c:val>
            <c:numRef>
              <c:f>'Pivot Tables'!$B$23:$B$25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D45-4667-9446-00848C8C3E05}"/>
            </c:ext>
          </c:extLst>
        </c:ser>
        <c:ser>
          <c:idx val="1"/>
          <c:order val="1"/>
          <c:tx>
            <c:strRef>
              <c:f>'Pivot Tables'!$C$21:$C$22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Tables'!$A$23:$A$25</c:f>
              <c:strCache>
                <c:ptCount val="3"/>
                <c:pt idx="0">
                  <c:v>Tier 1</c:v>
                </c:pt>
                <c:pt idx="1">
                  <c:v>Tier 2</c:v>
                </c:pt>
                <c:pt idx="2">
                  <c:v>Tier 3</c:v>
                </c:pt>
              </c:strCache>
            </c:strRef>
          </c:cat>
          <c:val>
            <c:numRef>
              <c:f>'Pivot Tables'!$C$23:$C$25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D45-4667-9446-00848C8C3E05}"/>
            </c:ext>
          </c:extLst>
        </c:ser>
        <c:dLbls>
          <c:dLblPos val="outEnd"/>
          <c:showLegendKey val="0"/>
          <c:showVal val="1"/>
          <c:showCatName val="0"/>
          <c:showSerName val="0"/>
          <c:showPercent val="0"/>
          <c:showBubbleSize val="0"/>
        </c:dLbls>
        <c:gapWidth val="50"/>
        <c:axId val="534479391"/>
        <c:axId val="534480831"/>
      </c:barChart>
      <c:catAx>
        <c:axId val="53447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34480831"/>
        <c:crosses val="autoZero"/>
        <c:auto val="1"/>
        <c:lblAlgn val="ctr"/>
        <c:lblOffset val="100"/>
        <c:noMultiLvlLbl val="0"/>
      </c:catAx>
      <c:valAx>
        <c:axId val="534480831"/>
        <c:scaling>
          <c:orientation val="minMax"/>
        </c:scaling>
        <c:delete val="1"/>
        <c:axPos val="b"/>
        <c:numFmt formatCode="&quot;$&quot;0.0,&quot;K&quot;" sourceLinked="1"/>
        <c:majorTickMark val="none"/>
        <c:minorTickMark val="none"/>
        <c:tickLblPos val="nextTo"/>
        <c:crossAx val="534479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17"/>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EFE-4C4C-842E-363B0D3A8626}"/>
            </c:ext>
          </c:extLst>
        </c:ser>
        <c:dLbls>
          <c:dLblPos val="outEnd"/>
          <c:showLegendKey val="0"/>
          <c:showVal val="1"/>
          <c:showCatName val="0"/>
          <c:showSerName val="0"/>
          <c:showPercent val="0"/>
          <c:showBubbleSize val="0"/>
        </c:dLbls>
        <c:gapWidth val="50"/>
        <c:axId val="124543199"/>
        <c:axId val="124560959"/>
      </c:barChart>
      <c:catAx>
        <c:axId val="12454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Segoe UI Semibold" panose="020B0702040204020203" pitchFamily="34" charset="0"/>
              </a:defRPr>
            </a:pPr>
            <a:endParaRPr lang="en-US"/>
          </a:p>
        </c:txPr>
        <c:crossAx val="124560959"/>
        <c:crosses val="autoZero"/>
        <c:auto val="1"/>
        <c:lblAlgn val="ctr"/>
        <c:lblOffset val="100"/>
        <c:noMultiLvlLbl val="0"/>
      </c:catAx>
      <c:valAx>
        <c:axId val="124560959"/>
        <c:scaling>
          <c:orientation val="minMax"/>
        </c:scaling>
        <c:delete val="1"/>
        <c:axPos val="b"/>
        <c:numFmt formatCode="&quot;$&quot;0.0,&quot;K&quot;" sourceLinked="1"/>
        <c:majorTickMark val="none"/>
        <c:minorTickMark val="none"/>
        <c:tickLblPos val="nextTo"/>
        <c:crossAx val="12454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22"/>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8.8285908459740551E-17"/>
              <c:y val="-0.3966500418048379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0"/>
              <c:y val="-0.2626466493032034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4078253185296945E-3"/>
              <c:y val="-0.2572865136031381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4.8156506370593448E-3"/>
              <c:y val="-0.2572865136031380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4.8156506370593891E-3"/>
              <c:y val="-0.2519263779030727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4078253185296945E-3"/>
              <c:y val="-0.2572865136031380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4446951911178167E-2"/>
              <c:y val="-0.182244613802222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9.6313012741186012E-3"/>
              <c:y val="-0.2519263779030727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4078253185296945E-3"/>
              <c:y val="-0.2572865136031381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Tables'!$B$46</c:f>
              <c:strCache>
                <c:ptCount val="1"/>
                <c:pt idx="0">
                  <c:v>Total</c:v>
                </c:pt>
              </c:strCache>
            </c:strRef>
          </c:tx>
          <c:spPr>
            <a:solidFill>
              <a:srgbClr val="FFD200"/>
            </a:solidFill>
            <a:ln>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7-3770-4720-8288-4D3D355DDC6C}"/>
              </c:ext>
            </c:extLst>
          </c:dPt>
          <c:dPt>
            <c:idx val="1"/>
            <c:bubble3D val="0"/>
            <c:extLst>
              <c:ext xmlns:c16="http://schemas.microsoft.com/office/drawing/2014/chart" uri="{C3380CC4-5D6E-409C-BE32-E72D297353CC}">
                <c16:uniqueId val="{00000006-3770-4720-8288-4D3D355DDC6C}"/>
              </c:ext>
            </c:extLst>
          </c:dPt>
          <c:dPt>
            <c:idx val="2"/>
            <c:bubble3D val="0"/>
            <c:extLst>
              <c:ext xmlns:c16="http://schemas.microsoft.com/office/drawing/2014/chart" uri="{C3380CC4-5D6E-409C-BE32-E72D297353CC}">
                <c16:uniqueId val="{00000005-3770-4720-8288-4D3D355DDC6C}"/>
              </c:ext>
            </c:extLst>
          </c:dPt>
          <c:dPt>
            <c:idx val="3"/>
            <c:bubble3D val="0"/>
            <c:extLst>
              <c:ext xmlns:c16="http://schemas.microsoft.com/office/drawing/2014/chart" uri="{C3380CC4-5D6E-409C-BE32-E72D297353CC}">
                <c16:uniqueId val="{00000004-3770-4720-8288-4D3D355DDC6C}"/>
              </c:ext>
            </c:extLst>
          </c:dPt>
          <c:dPt>
            <c:idx val="4"/>
            <c:bubble3D val="0"/>
            <c:extLst>
              <c:ext xmlns:c16="http://schemas.microsoft.com/office/drawing/2014/chart" uri="{C3380CC4-5D6E-409C-BE32-E72D297353CC}">
                <c16:uniqueId val="{00000003-3770-4720-8288-4D3D355DDC6C}"/>
              </c:ext>
            </c:extLst>
          </c:dPt>
          <c:dPt>
            <c:idx val="5"/>
            <c:bubble3D val="0"/>
            <c:extLst>
              <c:ext xmlns:c16="http://schemas.microsoft.com/office/drawing/2014/chart" uri="{C3380CC4-5D6E-409C-BE32-E72D297353CC}">
                <c16:uniqueId val="{00000002-3770-4720-8288-4D3D355DDC6C}"/>
              </c:ext>
            </c:extLst>
          </c:dPt>
          <c:dPt>
            <c:idx val="6"/>
            <c:bubble3D val="0"/>
            <c:extLst>
              <c:ext xmlns:c16="http://schemas.microsoft.com/office/drawing/2014/chart" uri="{C3380CC4-5D6E-409C-BE32-E72D297353CC}">
                <c16:uniqueId val="{00000001-3770-4720-8288-4D3D355DDC6C}"/>
              </c:ext>
            </c:extLst>
          </c:dPt>
          <c:dPt>
            <c:idx val="7"/>
            <c:bubble3D val="0"/>
            <c:extLst>
              <c:ext xmlns:c16="http://schemas.microsoft.com/office/drawing/2014/chart" uri="{C3380CC4-5D6E-409C-BE32-E72D297353CC}">
                <c16:uniqueId val="{00000008-3770-4720-8288-4D3D355DDC6C}"/>
              </c:ext>
            </c:extLst>
          </c:dPt>
          <c:dPt>
            <c:idx val="8"/>
            <c:bubble3D val="0"/>
            <c:extLst>
              <c:ext xmlns:c16="http://schemas.microsoft.com/office/drawing/2014/chart" uri="{C3380CC4-5D6E-409C-BE32-E72D297353CC}">
                <c16:uniqueId val="{00000009-3770-4720-8288-4D3D355DDC6C}"/>
              </c:ext>
            </c:extLst>
          </c:dPt>
          <c:dLbls>
            <c:dLbl>
              <c:idx val="0"/>
              <c:layout>
                <c:manualLayout>
                  <c:x val="1.4446951911178167E-2"/>
                  <c:y val="-0.18224461380222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70-4720-8288-4D3D355DDC6C}"/>
                </c:ext>
              </c:extLst>
            </c:dLbl>
            <c:dLbl>
              <c:idx val="1"/>
              <c:layout>
                <c:manualLayout>
                  <c:x val="2.4078253185296945E-3"/>
                  <c:y val="-0.257286513603138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70-4720-8288-4D3D355DDC6C}"/>
                </c:ext>
              </c:extLst>
            </c:dLbl>
            <c:dLbl>
              <c:idx val="2"/>
              <c:layout>
                <c:manualLayout>
                  <c:x val="4.8156506370593891E-3"/>
                  <c:y val="-0.25192637790307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70-4720-8288-4D3D355DDC6C}"/>
                </c:ext>
              </c:extLst>
            </c:dLbl>
            <c:dLbl>
              <c:idx val="3"/>
              <c:layout>
                <c:manualLayout>
                  <c:x val="4.8156506370593448E-3"/>
                  <c:y val="-0.257286513603138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70-4720-8288-4D3D355DDC6C}"/>
                </c:ext>
              </c:extLst>
            </c:dLbl>
            <c:dLbl>
              <c:idx val="4"/>
              <c:layout>
                <c:manualLayout>
                  <c:x val="2.4078253185296945E-3"/>
                  <c:y val="-0.25728651360313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70-4720-8288-4D3D355DDC6C}"/>
                </c:ext>
              </c:extLst>
            </c:dLbl>
            <c:dLbl>
              <c:idx val="5"/>
              <c:layout>
                <c:manualLayout>
                  <c:x val="0"/>
                  <c:y val="-0.26264664930320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70-4720-8288-4D3D355DDC6C}"/>
                </c:ext>
              </c:extLst>
            </c:dLbl>
            <c:dLbl>
              <c:idx val="6"/>
              <c:layout>
                <c:manualLayout>
                  <c:x val="8.8285908459740551E-17"/>
                  <c:y val="-0.396650041804837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70-4720-8288-4D3D355DDC6C}"/>
                </c:ext>
              </c:extLst>
            </c:dLbl>
            <c:dLbl>
              <c:idx val="7"/>
              <c:layout>
                <c:manualLayout>
                  <c:x val="9.6313012741186012E-3"/>
                  <c:y val="-0.25192637790307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70-4720-8288-4D3D355DDC6C}"/>
                </c:ext>
              </c:extLst>
            </c:dLbl>
            <c:dLbl>
              <c:idx val="8"/>
              <c:layout>
                <c:manualLayout>
                  <c:x val="2.4078253185296945E-3"/>
                  <c:y val="-0.25728651360313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70-4720-8288-4D3D355DDC6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Tables'!$A$47:$A$55</c:f>
              <c:strCache>
                <c:ptCount val="9"/>
                <c:pt idx="0">
                  <c:v>2011</c:v>
                </c:pt>
                <c:pt idx="1">
                  <c:v>2012</c:v>
                </c:pt>
                <c:pt idx="2">
                  <c:v>2014</c:v>
                </c:pt>
                <c:pt idx="3">
                  <c:v>2015</c:v>
                </c:pt>
                <c:pt idx="4">
                  <c:v>2016</c:v>
                </c:pt>
                <c:pt idx="5">
                  <c:v>2017</c:v>
                </c:pt>
                <c:pt idx="6">
                  <c:v>2018</c:v>
                </c:pt>
                <c:pt idx="7">
                  <c:v>2020</c:v>
                </c:pt>
                <c:pt idx="8">
                  <c:v>2022</c:v>
                </c:pt>
              </c:strCache>
            </c:strRef>
          </c:cat>
          <c:val>
            <c:numRef>
              <c:f>'Pivot Tables'!$B$47:$B$55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770-4720-8288-4D3D355DDC6C}"/>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24120239"/>
        <c:axId val="124122159"/>
      </c:areaChart>
      <c:catAx>
        <c:axId val="1241202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crossAx val="124122159"/>
        <c:crosses val="autoZero"/>
        <c:auto val="1"/>
        <c:lblAlgn val="ctr"/>
        <c:lblOffset val="100"/>
        <c:noMultiLvlLbl val="0"/>
      </c:catAx>
      <c:valAx>
        <c:axId val="124122159"/>
        <c:scaling>
          <c:orientation val="minMax"/>
        </c:scaling>
        <c:delete val="1"/>
        <c:axPos val="l"/>
        <c:numFmt formatCode="&quot;$&quot;0.0,&quot;K&quot;" sourceLinked="1"/>
        <c:majorTickMark val="out"/>
        <c:minorTickMark val="none"/>
        <c:tickLblPos val="nextTo"/>
        <c:crossAx val="124120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Tables!PivotTable6</c:name>
    <c:fmtId val="26"/>
  </c:pivotSource>
  <c:chart>
    <c:autoTitleDeleted val="1"/>
    <c:pivotFmts>
      <c:pivotFmt>
        <c:idx val="0"/>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rgbClr val="D09E00"/>
          </a:solidFill>
          <a:ln w="19050">
            <a:solidFill>
              <a:schemeClr val="lt1"/>
            </a:solidFill>
          </a:ln>
          <a:effectLst/>
        </c:spPr>
      </c:pivotFmt>
      <c:pivotFmt>
        <c:idx val="7"/>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0.20029128610038624"/>
              <c:y val="-2.735044207574786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layout>
            <c:manualLayout>
              <c:x val="0.20960715987249715"/>
              <c:y val="-1.367522103787390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w="19050">
            <a:solidFill>
              <a:schemeClr val="lt1"/>
            </a:solidFill>
          </a:ln>
          <a:effectLst/>
        </c:spPr>
        <c:dLbl>
          <c:idx val="0"/>
          <c:layout>
            <c:manualLayout>
              <c:x val="-0.14905398035377582"/>
              <c:y val="-6.837610518936950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Tables'!$E$46</c:f>
              <c:strCache>
                <c:ptCount val="1"/>
                <c:pt idx="0">
                  <c:v>Total</c:v>
                </c:pt>
              </c:strCache>
            </c:strRef>
          </c:tx>
          <c:spPr>
            <a:solidFill>
              <a:srgbClr val="D09E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C6BF-4BB9-A024-524567E997E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6BF-4BB9-A024-524567E997E3}"/>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C6BF-4BB9-A024-524567E997E3}"/>
              </c:ext>
            </c:extLst>
          </c:dPt>
          <c:dLbls>
            <c:dLbl>
              <c:idx val="0"/>
              <c:layout>
                <c:manualLayout>
                  <c:x val="0.20029128610038624"/>
                  <c:y val="-2.7350442075747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BF-4BB9-A024-524567E997E3}"/>
                </c:ext>
              </c:extLst>
            </c:dLbl>
            <c:dLbl>
              <c:idx val="1"/>
              <c:layout>
                <c:manualLayout>
                  <c:x val="0.20960715987249715"/>
                  <c:y val="-1.3675221037873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BF-4BB9-A024-524567E997E3}"/>
                </c:ext>
              </c:extLst>
            </c:dLbl>
            <c:dLbl>
              <c:idx val="2"/>
              <c:layout>
                <c:manualLayout>
                  <c:x val="-0.14905398035377582"/>
                  <c:y val="-6.83761051893695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BF-4BB9-A024-524567E997E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Tables'!$D$47:$D$49</c:f>
              <c:strCache>
                <c:ptCount val="3"/>
                <c:pt idx="0">
                  <c:v>High</c:v>
                </c:pt>
                <c:pt idx="1">
                  <c:v>Medium</c:v>
                </c:pt>
                <c:pt idx="2">
                  <c:v>Small</c:v>
                </c:pt>
              </c:strCache>
            </c:strRef>
          </c:cat>
          <c:val>
            <c:numRef>
              <c:f>'Pivot Tables'!$E$47:$E$49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6BF-4BB9-A024-524567E997E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11259957257010654"/>
          <c:y val="8.4062793026223354E-2"/>
          <c:w val="0.78877429875126959"/>
          <c:h val="0.135952656295693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Tables'!$E$53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Tables'!$D$54:$D$57</c:f>
              <c:strCache>
                <c:ptCount val="4"/>
                <c:pt idx="0">
                  <c:v>Supermarket Type3</c:v>
                </c:pt>
                <c:pt idx="1">
                  <c:v>Supermarket Type2</c:v>
                </c:pt>
                <c:pt idx="2">
                  <c:v>Grocery Store</c:v>
                </c:pt>
                <c:pt idx="3">
                  <c:v>Supermarket Type1</c:v>
                </c:pt>
              </c:strCache>
            </c:strRef>
          </c:cat>
          <c:val>
            <c:numRef>
              <c:f>'Pivot Tables'!$E$54:$E$57</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02C6-427F-B17C-0C7DB88A9424}"/>
            </c:ext>
          </c:extLst>
        </c:ser>
        <c:dLbls>
          <c:dLblPos val="outEnd"/>
          <c:showLegendKey val="0"/>
          <c:showVal val="1"/>
          <c:showCatName val="0"/>
          <c:showSerName val="0"/>
          <c:showPercent val="0"/>
          <c:showBubbleSize val="0"/>
        </c:dLbls>
        <c:gapWidth val="50"/>
        <c:axId val="1661423039"/>
        <c:axId val="1661426879"/>
      </c:barChart>
      <c:catAx>
        <c:axId val="166142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26879"/>
        <c:crosses val="autoZero"/>
        <c:auto val="1"/>
        <c:lblAlgn val="ctr"/>
        <c:lblOffset val="100"/>
        <c:noMultiLvlLbl val="0"/>
      </c:catAx>
      <c:valAx>
        <c:axId val="166142687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66142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Tables!PivotTable9</c:name>
    <c:fmtId val="30"/>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Tables'!$E$59</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Tables'!$D$60:$D$63</c:f>
              <c:strCache>
                <c:ptCount val="4"/>
                <c:pt idx="0">
                  <c:v>Supermarket Type3</c:v>
                </c:pt>
                <c:pt idx="1">
                  <c:v>Grocery Store</c:v>
                </c:pt>
                <c:pt idx="2">
                  <c:v>Supermarket Type1</c:v>
                </c:pt>
                <c:pt idx="3">
                  <c:v>Supermarket Type2</c:v>
                </c:pt>
              </c:strCache>
            </c:strRef>
          </c:cat>
          <c:val>
            <c:numRef>
              <c:f>'Pivot Tables'!$E$60:$E$63</c:f>
              <c:numCache>
                <c:formatCode>"$"0.0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5608-4EB9-8E87-6510D9016E7D}"/>
            </c:ext>
          </c:extLst>
        </c:ser>
        <c:dLbls>
          <c:dLblPos val="outEnd"/>
          <c:showLegendKey val="0"/>
          <c:showVal val="1"/>
          <c:showCatName val="0"/>
          <c:showSerName val="0"/>
          <c:showPercent val="0"/>
          <c:showBubbleSize val="0"/>
        </c:dLbls>
        <c:gapWidth val="50"/>
        <c:axId val="1849255743"/>
        <c:axId val="1849256223"/>
      </c:barChart>
      <c:catAx>
        <c:axId val="1849255743"/>
        <c:scaling>
          <c:orientation val="minMax"/>
        </c:scaling>
        <c:delete val="1"/>
        <c:axPos val="l"/>
        <c:numFmt formatCode="General" sourceLinked="1"/>
        <c:majorTickMark val="none"/>
        <c:minorTickMark val="none"/>
        <c:tickLblPos val="nextTo"/>
        <c:crossAx val="1849256223"/>
        <c:crosses val="autoZero"/>
        <c:auto val="1"/>
        <c:lblAlgn val="ctr"/>
        <c:lblOffset val="100"/>
        <c:noMultiLvlLbl val="0"/>
      </c:catAx>
      <c:valAx>
        <c:axId val="1849256223"/>
        <c:scaling>
          <c:orientation val="minMax"/>
        </c:scaling>
        <c:delete val="1"/>
        <c:axPos val="b"/>
        <c:numFmt formatCode="&quot;$&quot;0.0" sourceLinked="1"/>
        <c:majorTickMark val="none"/>
        <c:minorTickMark val="none"/>
        <c:tickLblPos val="nextTo"/>
        <c:crossAx val="184925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Tables'!$E$65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Tables'!$D$66:$D$69</c:f>
              <c:strCache>
                <c:ptCount val="4"/>
                <c:pt idx="0">
                  <c:v>Supermarket Type2</c:v>
                </c:pt>
                <c:pt idx="1">
                  <c:v>Supermarket Type3</c:v>
                </c:pt>
                <c:pt idx="2">
                  <c:v>Grocery Store</c:v>
                </c:pt>
                <c:pt idx="3">
                  <c:v>Supermarket Type1</c:v>
                </c:pt>
              </c:strCache>
            </c:strRef>
          </c:cat>
          <c:val>
            <c:numRef>
              <c:f>'Pivot Tables'!$E$66:$E$69</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8AE6-41B8-A7C1-52A2F7964A56}"/>
            </c:ext>
          </c:extLst>
        </c:ser>
        <c:dLbls>
          <c:dLblPos val="outEnd"/>
          <c:showLegendKey val="0"/>
          <c:showVal val="1"/>
          <c:showCatName val="0"/>
          <c:showSerName val="0"/>
          <c:showPercent val="0"/>
          <c:showBubbleSize val="0"/>
        </c:dLbls>
        <c:gapWidth val="50"/>
        <c:axId val="1963851343"/>
        <c:axId val="1963847983"/>
      </c:barChart>
      <c:catAx>
        <c:axId val="1963851343"/>
        <c:scaling>
          <c:orientation val="minMax"/>
        </c:scaling>
        <c:delete val="1"/>
        <c:axPos val="l"/>
        <c:numFmt formatCode="General" sourceLinked="1"/>
        <c:majorTickMark val="none"/>
        <c:minorTickMark val="none"/>
        <c:tickLblPos val="nextTo"/>
        <c:crossAx val="1963847983"/>
        <c:crosses val="autoZero"/>
        <c:auto val="1"/>
        <c:lblAlgn val="ctr"/>
        <c:lblOffset val="100"/>
        <c:noMultiLvlLbl val="0"/>
      </c:catAx>
      <c:valAx>
        <c:axId val="1963847983"/>
        <c:scaling>
          <c:orientation val="minMax"/>
        </c:scaling>
        <c:delete val="1"/>
        <c:axPos val="b"/>
        <c:numFmt formatCode="General" sourceLinked="1"/>
        <c:majorTickMark val="none"/>
        <c:minorTickMark val="none"/>
        <c:tickLblPos val="nextTo"/>
        <c:crossAx val="196385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2FE2A7C1-24B7-45C6-B8F3-7A58ABA798CF}">
          <cx:dataPt idx="0">
            <cx:spPr>
              <a:solidFill>
                <a:srgbClr val="92D050"/>
              </a:solidFill>
            </cx:spPr>
          </cx:dataPt>
          <cx:dataPt idx="1">
            <cx:spPr>
              <a:solidFill>
                <a:srgbClr val="FFD200"/>
              </a:solidFill>
            </cx:spPr>
          </cx:dataPt>
          <cx:dataPt idx="2">
            <cx:spPr>
              <a:solidFill>
                <a:srgbClr val="D09E00"/>
              </a:solidFill>
            </cx:spPr>
          </cx:dataPt>
          <cx:dataLabels pos="outEnd">
            <cx:txPr>
              <a:bodyPr spcFirstLastPara="1" vertOverflow="ellipsis" horzOverflow="overflow" wrap="square" lIns="0" tIns="0" rIns="0" bIns="0" anchor="ctr" anchorCtr="1"/>
              <a:lstStyle/>
              <a:p>
                <a:pPr algn="ctr" rtl="0">
                  <a:defRPr sz="8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Pivot Tables'!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png"/><Relationship Id="rId10" Type="http://schemas.microsoft.com/office/2014/relationships/chartEx" Target="../charts/chartEx1.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152400</xdr:colOff>
      <xdr:row>0</xdr:row>
      <xdr:rowOff>66675</xdr:rowOff>
    </xdr:from>
    <xdr:to>
      <xdr:col>21</xdr:col>
      <xdr:colOff>273843</xdr:colOff>
      <xdr:row>31</xdr:row>
      <xdr:rowOff>178593</xdr:rowOff>
    </xdr:to>
    <xdr:sp macro="" textlink="">
      <xdr:nvSpPr>
        <xdr:cNvPr id="2" name="Rectangle 1">
          <a:extLst>
            <a:ext uri="{FF2B5EF4-FFF2-40B4-BE49-F238E27FC236}">
              <a16:creationId xmlns:a16="http://schemas.microsoft.com/office/drawing/2014/main" id="{FCA1E220-2BDD-54B2-73CD-32343A3F5FEE}"/>
            </a:ext>
          </a:extLst>
        </xdr:cNvPr>
        <xdr:cNvSpPr/>
      </xdr:nvSpPr>
      <xdr:spPr>
        <a:xfrm>
          <a:off x="842963" y="66675"/>
          <a:ext cx="13932693" cy="6386512"/>
        </a:xfrm>
        <a:prstGeom prst="rect">
          <a:avLst/>
        </a:prstGeom>
        <a:solidFill>
          <a:sysClr val="window" lastClr="FFFFFF"/>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276225</xdr:colOff>
      <xdr:row>1</xdr:row>
      <xdr:rowOff>114302</xdr:rowOff>
    </xdr:from>
    <xdr:to>
      <xdr:col>4</xdr:col>
      <xdr:colOff>83344</xdr:colOff>
      <xdr:row>31</xdr:row>
      <xdr:rowOff>142879</xdr:rowOff>
    </xdr:to>
    <xdr:sp macro="" textlink="">
      <xdr:nvSpPr>
        <xdr:cNvPr id="3" name="Rectangle: Top Corners Rounded 2">
          <a:extLst>
            <a:ext uri="{FF2B5EF4-FFF2-40B4-BE49-F238E27FC236}">
              <a16:creationId xmlns:a16="http://schemas.microsoft.com/office/drawing/2014/main" id="{3C108811-BD76-157F-F794-B20667650128}"/>
            </a:ext>
          </a:extLst>
        </xdr:cNvPr>
        <xdr:cNvSpPr/>
      </xdr:nvSpPr>
      <xdr:spPr>
        <a:xfrm rot="5400000">
          <a:off x="-1144192" y="2427688"/>
          <a:ext cx="6100765" cy="187880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390525</xdr:colOff>
      <xdr:row>2</xdr:row>
      <xdr:rowOff>9525</xdr:rowOff>
    </xdr:from>
    <xdr:to>
      <xdr:col>4</xdr:col>
      <xdr:colOff>0</xdr:colOff>
      <xdr:row>4</xdr:row>
      <xdr:rowOff>154780</xdr:rowOff>
    </xdr:to>
    <xdr:sp macro="" textlink="">
      <xdr:nvSpPr>
        <xdr:cNvPr id="4" name="TextBox 3">
          <a:extLst>
            <a:ext uri="{FF2B5EF4-FFF2-40B4-BE49-F238E27FC236}">
              <a16:creationId xmlns:a16="http://schemas.microsoft.com/office/drawing/2014/main" id="{9BB44152-93E9-3FB7-C00C-93E3DB1A3CAB}"/>
            </a:ext>
          </a:extLst>
        </xdr:cNvPr>
        <xdr:cNvSpPr txBox="1"/>
      </xdr:nvSpPr>
      <xdr:spPr>
        <a:xfrm>
          <a:off x="1081088" y="414338"/>
          <a:ext cx="1681162" cy="55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Segoe UI Black" panose="020B0A02040204020203" pitchFamily="34" charset="0"/>
              <a:ea typeface="Segoe UI Black" panose="020B0A02040204020203" pitchFamily="34" charset="0"/>
            </a:rPr>
            <a:t>blink</a:t>
          </a:r>
          <a:r>
            <a:rPr lang="en-IN" sz="32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447676</xdr:colOff>
      <xdr:row>4</xdr:row>
      <xdr:rowOff>145255</xdr:rowOff>
    </xdr:from>
    <xdr:to>
      <xdr:col>3</xdr:col>
      <xdr:colOff>523874</xdr:colOff>
      <xdr:row>5</xdr:row>
      <xdr:rowOff>130968</xdr:rowOff>
    </xdr:to>
    <xdr:sp macro="" textlink="">
      <xdr:nvSpPr>
        <xdr:cNvPr id="5" name="TextBox 4">
          <a:extLst>
            <a:ext uri="{FF2B5EF4-FFF2-40B4-BE49-F238E27FC236}">
              <a16:creationId xmlns:a16="http://schemas.microsoft.com/office/drawing/2014/main" id="{C35EA840-E666-4C73-9C0D-B59F8BDD32D0}"/>
            </a:ext>
          </a:extLst>
        </xdr:cNvPr>
        <xdr:cNvSpPr txBox="1"/>
      </xdr:nvSpPr>
      <xdr:spPr>
        <a:xfrm>
          <a:off x="1138239" y="954880"/>
          <a:ext cx="1457323" cy="188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6">
                  <a:lumMod val="50000"/>
                </a:schemeClr>
              </a:solidFill>
              <a:latin typeface="+mn-lt"/>
              <a:ea typeface="Segoe UI Black" panose="020B0A02040204020203" pitchFamily="34" charset="0"/>
            </a:rPr>
            <a:t>India's Last Minute App</a:t>
          </a:r>
        </a:p>
      </xdr:txBody>
    </xdr:sp>
    <xdr:clientData/>
  </xdr:twoCellAnchor>
  <xdr:twoCellAnchor>
    <xdr:from>
      <xdr:col>4</xdr:col>
      <xdr:colOff>116679</xdr:colOff>
      <xdr:row>1</xdr:row>
      <xdr:rowOff>130969</xdr:rowOff>
    </xdr:from>
    <xdr:to>
      <xdr:col>7</xdr:col>
      <xdr:colOff>583405</xdr:colOff>
      <xdr:row>5</xdr:row>
      <xdr:rowOff>154781</xdr:rowOff>
    </xdr:to>
    <xdr:sp macro="" textlink="">
      <xdr:nvSpPr>
        <xdr:cNvPr id="6" name="Rectangle: Rounded Corners 5">
          <a:extLst>
            <a:ext uri="{FF2B5EF4-FFF2-40B4-BE49-F238E27FC236}">
              <a16:creationId xmlns:a16="http://schemas.microsoft.com/office/drawing/2014/main" id="{7D6B9A61-A0EB-EC44-7DC3-517BA9F993EC}"/>
            </a:ext>
          </a:extLst>
        </xdr:cNvPr>
        <xdr:cNvSpPr/>
      </xdr:nvSpPr>
      <xdr:spPr>
        <a:xfrm>
          <a:off x="2878929" y="333375"/>
          <a:ext cx="2538414" cy="833437"/>
        </a:xfrm>
        <a:prstGeom prst="roundRect">
          <a:avLst>
            <a:gd name="adj" fmla="val 32124"/>
          </a:avLst>
        </a:prstGeom>
        <a:gradFill>
          <a:gsLst>
            <a:gs pos="0">
              <a:srgbClr val="FFD200"/>
            </a:gs>
            <a:gs pos="40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250031</xdr:colOff>
      <xdr:row>1</xdr:row>
      <xdr:rowOff>114298</xdr:rowOff>
    </xdr:from>
    <xdr:to>
      <xdr:col>12</xdr:col>
      <xdr:colOff>219075</xdr:colOff>
      <xdr:row>5</xdr:row>
      <xdr:rowOff>119063</xdr:rowOff>
    </xdr:to>
    <xdr:sp macro="" textlink="">
      <xdr:nvSpPr>
        <xdr:cNvPr id="10" name="Rectangle: Rounded Corners 9">
          <a:extLst>
            <a:ext uri="{FF2B5EF4-FFF2-40B4-BE49-F238E27FC236}">
              <a16:creationId xmlns:a16="http://schemas.microsoft.com/office/drawing/2014/main" id="{C770567B-81EF-47CB-A240-C5343D1D1F44}"/>
            </a:ext>
          </a:extLst>
        </xdr:cNvPr>
        <xdr:cNvSpPr/>
      </xdr:nvSpPr>
      <xdr:spPr>
        <a:xfrm>
          <a:off x="5774531" y="316704"/>
          <a:ext cx="2731294" cy="814390"/>
        </a:xfrm>
        <a:prstGeom prst="roundRect">
          <a:avLst>
            <a:gd name="adj" fmla="val 321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123823</xdr:colOff>
      <xdr:row>6</xdr:row>
      <xdr:rowOff>71437</xdr:rowOff>
    </xdr:from>
    <xdr:to>
      <xdr:col>7</xdr:col>
      <xdr:colOff>654843</xdr:colOff>
      <xdr:row>9</xdr:row>
      <xdr:rowOff>190500</xdr:rowOff>
    </xdr:to>
    <xdr:sp macro="" textlink="">
      <xdr:nvSpPr>
        <xdr:cNvPr id="11" name="Rectangle: Rounded Corners 10">
          <a:extLst>
            <a:ext uri="{FF2B5EF4-FFF2-40B4-BE49-F238E27FC236}">
              <a16:creationId xmlns:a16="http://schemas.microsoft.com/office/drawing/2014/main" id="{80D2DACB-2B04-47C9-817A-0D021CCC49B4}"/>
            </a:ext>
          </a:extLst>
        </xdr:cNvPr>
        <xdr:cNvSpPr/>
      </xdr:nvSpPr>
      <xdr:spPr>
        <a:xfrm>
          <a:off x="2886073" y="1285875"/>
          <a:ext cx="2602708" cy="726281"/>
        </a:xfrm>
        <a:prstGeom prst="roundRect">
          <a:avLst>
            <a:gd name="adj" fmla="val 321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247650</xdr:colOff>
      <xdr:row>6</xdr:row>
      <xdr:rowOff>33335</xdr:rowOff>
    </xdr:from>
    <xdr:to>
      <xdr:col>12</xdr:col>
      <xdr:colOff>297656</xdr:colOff>
      <xdr:row>9</xdr:row>
      <xdr:rowOff>130969</xdr:rowOff>
    </xdr:to>
    <xdr:sp macro="" textlink="">
      <xdr:nvSpPr>
        <xdr:cNvPr id="12" name="Rectangle: Rounded Corners 11">
          <a:extLst>
            <a:ext uri="{FF2B5EF4-FFF2-40B4-BE49-F238E27FC236}">
              <a16:creationId xmlns:a16="http://schemas.microsoft.com/office/drawing/2014/main" id="{C8190606-A325-41F2-B2A5-F9511FA5C065}"/>
            </a:ext>
          </a:extLst>
        </xdr:cNvPr>
        <xdr:cNvSpPr/>
      </xdr:nvSpPr>
      <xdr:spPr>
        <a:xfrm>
          <a:off x="5772150" y="1247773"/>
          <a:ext cx="2812256" cy="704852"/>
        </a:xfrm>
        <a:prstGeom prst="roundRect">
          <a:avLst>
            <a:gd name="adj" fmla="val 321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238124</xdr:colOff>
      <xdr:row>2</xdr:row>
      <xdr:rowOff>2380</xdr:rowOff>
    </xdr:from>
    <xdr:to>
      <xdr:col>5</xdr:col>
      <xdr:colOff>654842</xdr:colOff>
      <xdr:row>4</xdr:row>
      <xdr:rowOff>11906</xdr:rowOff>
    </xdr:to>
    <xdr:sp macro="" textlink="'Pivot Tables'!A10">
      <xdr:nvSpPr>
        <xdr:cNvPr id="13" name="TextBox 12">
          <a:extLst>
            <a:ext uri="{FF2B5EF4-FFF2-40B4-BE49-F238E27FC236}">
              <a16:creationId xmlns:a16="http://schemas.microsoft.com/office/drawing/2014/main" id="{3477A195-3CC2-0F15-A950-7B9A5235BFE2}"/>
            </a:ext>
          </a:extLst>
        </xdr:cNvPr>
        <xdr:cNvSpPr txBox="1"/>
      </xdr:nvSpPr>
      <xdr:spPr>
        <a:xfrm>
          <a:off x="3000374" y="407193"/>
          <a:ext cx="1107281" cy="41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5D0B57-83EB-4BEA-AA36-002F5C49B49C}" type="TxLink">
            <a:rPr lang="en-US" sz="1600" b="1" i="0" u="none" strike="noStrike">
              <a:solidFill>
                <a:srgbClr val="000000"/>
              </a:solidFill>
              <a:latin typeface="Calibri"/>
              <a:cs typeface="Calibri"/>
            </a:rPr>
            <a:pPr/>
            <a:t>$1.20M</a:t>
          </a:fld>
          <a:endParaRPr lang="en-IN" sz="1600" b="1"/>
        </a:p>
      </xdr:txBody>
    </xdr:sp>
    <xdr:clientData/>
  </xdr:twoCellAnchor>
  <xdr:twoCellAnchor>
    <xdr:from>
      <xdr:col>4</xdr:col>
      <xdr:colOff>214312</xdr:colOff>
      <xdr:row>3</xdr:row>
      <xdr:rowOff>154781</xdr:rowOff>
    </xdr:from>
    <xdr:to>
      <xdr:col>6</xdr:col>
      <xdr:colOff>511968</xdr:colOff>
      <xdr:row>5</xdr:row>
      <xdr:rowOff>83344</xdr:rowOff>
    </xdr:to>
    <xdr:sp macro="" textlink="">
      <xdr:nvSpPr>
        <xdr:cNvPr id="14" name="TextBox 13">
          <a:extLst>
            <a:ext uri="{FF2B5EF4-FFF2-40B4-BE49-F238E27FC236}">
              <a16:creationId xmlns:a16="http://schemas.microsoft.com/office/drawing/2014/main" id="{AD7ED605-A657-5CAE-DEC5-A30918D1F9CD}"/>
            </a:ext>
          </a:extLst>
        </xdr:cNvPr>
        <xdr:cNvSpPr txBox="1"/>
      </xdr:nvSpPr>
      <xdr:spPr>
        <a:xfrm>
          <a:off x="2976562" y="762000"/>
          <a:ext cx="167878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clientData/>
  </xdr:twoCellAnchor>
  <xdr:twoCellAnchor>
    <xdr:from>
      <xdr:col>8</xdr:col>
      <xdr:colOff>419102</xdr:colOff>
      <xdr:row>1</xdr:row>
      <xdr:rowOff>166688</xdr:rowOff>
    </xdr:from>
    <xdr:to>
      <xdr:col>9</xdr:col>
      <xdr:colOff>595313</xdr:colOff>
      <xdr:row>3</xdr:row>
      <xdr:rowOff>95250</xdr:rowOff>
    </xdr:to>
    <xdr:sp macro="" textlink="'Pivot Tables'!B10">
      <xdr:nvSpPr>
        <xdr:cNvPr id="15" name="TextBox 14">
          <a:extLst>
            <a:ext uri="{FF2B5EF4-FFF2-40B4-BE49-F238E27FC236}">
              <a16:creationId xmlns:a16="http://schemas.microsoft.com/office/drawing/2014/main" id="{DE99AEBC-A44A-4B1F-A294-04ACD5D8A5FC}"/>
            </a:ext>
          </a:extLst>
        </xdr:cNvPr>
        <xdr:cNvSpPr txBox="1"/>
      </xdr:nvSpPr>
      <xdr:spPr>
        <a:xfrm>
          <a:off x="5943602" y="369094"/>
          <a:ext cx="86677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7ED50A-3A6A-40EC-895A-79A2E740D99B}" type="TxLink">
            <a:rPr lang="en-US" sz="1600" b="1" i="0" u="none" strike="noStrike">
              <a:solidFill>
                <a:srgbClr val="000000"/>
              </a:solidFill>
              <a:latin typeface="Calibri"/>
              <a:ea typeface="+mn-ea"/>
              <a:cs typeface="Calibri"/>
            </a:rPr>
            <a:pPr marL="0" indent="0"/>
            <a:t>$141</a:t>
          </a:fld>
          <a:endParaRPr lang="en-IN" sz="1600" b="1" i="0" u="none" strike="noStrike">
            <a:solidFill>
              <a:srgbClr val="000000"/>
            </a:solidFill>
            <a:latin typeface="Calibri"/>
            <a:ea typeface="+mn-ea"/>
            <a:cs typeface="Calibri"/>
          </a:endParaRPr>
        </a:p>
      </xdr:txBody>
    </xdr:sp>
    <xdr:clientData/>
  </xdr:twoCellAnchor>
  <xdr:twoCellAnchor>
    <xdr:from>
      <xdr:col>8</xdr:col>
      <xdr:colOff>378620</xdr:colOff>
      <xdr:row>3</xdr:row>
      <xdr:rowOff>100015</xdr:rowOff>
    </xdr:from>
    <xdr:to>
      <xdr:col>10</xdr:col>
      <xdr:colOff>183357</xdr:colOff>
      <xdr:row>4</xdr:row>
      <xdr:rowOff>147640</xdr:rowOff>
    </xdr:to>
    <xdr:sp macro="" textlink="">
      <xdr:nvSpPr>
        <xdr:cNvPr id="17" name="TextBox 16">
          <a:extLst>
            <a:ext uri="{FF2B5EF4-FFF2-40B4-BE49-F238E27FC236}">
              <a16:creationId xmlns:a16="http://schemas.microsoft.com/office/drawing/2014/main" id="{8770A4C2-01E8-427D-A017-DD3B76C1DDA1}"/>
            </a:ext>
          </a:extLst>
        </xdr:cNvPr>
        <xdr:cNvSpPr txBox="1"/>
      </xdr:nvSpPr>
      <xdr:spPr>
        <a:xfrm>
          <a:off x="5903120" y="707234"/>
          <a:ext cx="1185862"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 SALES</a:t>
          </a:r>
        </a:p>
      </xdr:txBody>
    </xdr:sp>
    <xdr:clientData/>
  </xdr:twoCellAnchor>
  <xdr:twoCellAnchor>
    <xdr:from>
      <xdr:col>4</xdr:col>
      <xdr:colOff>219075</xdr:colOff>
      <xdr:row>6</xdr:row>
      <xdr:rowOff>66674</xdr:rowOff>
    </xdr:from>
    <xdr:to>
      <xdr:col>5</xdr:col>
      <xdr:colOff>511968</xdr:colOff>
      <xdr:row>7</xdr:row>
      <xdr:rowOff>130968</xdr:rowOff>
    </xdr:to>
    <xdr:sp macro="" textlink="'Pivot Tables'!C10">
      <xdr:nvSpPr>
        <xdr:cNvPr id="18" name="TextBox 17">
          <a:extLst>
            <a:ext uri="{FF2B5EF4-FFF2-40B4-BE49-F238E27FC236}">
              <a16:creationId xmlns:a16="http://schemas.microsoft.com/office/drawing/2014/main" id="{A1239A62-0733-44A2-9FE3-A522474D0DF8}"/>
            </a:ext>
          </a:extLst>
        </xdr:cNvPr>
        <xdr:cNvSpPr txBox="1"/>
      </xdr:nvSpPr>
      <xdr:spPr>
        <a:xfrm>
          <a:off x="2981325" y="1281112"/>
          <a:ext cx="98345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F8A7A6-03DC-4639-884C-3E63CA59DD7D}" type="TxLink">
            <a:rPr lang="en-US" sz="1600" b="1" i="0" u="none" strike="noStrike">
              <a:solidFill>
                <a:srgbClr val="000000"/>
              </a:solidFill>
              <a:latin typeface="Calibri"/>
              <a:ea typeface="+mn-ea"/>
              <a:cs typeface="Calibri"/>
            </a:rPr>
            <a:pPr marL="0" indent="0"/>
            <a:t>8523</a:t>
          </a:fld>
          <a:endParaRPr lang="en-IN" sz="1600" b="1" i="0" u="none" strike="noStrike">
            <a:solidFill>
              <a:srgbClr val="000000"/>
            </a:solidFill>
            <a:latin typeface="Calibri"/>
            <a:ea typeface="+mn-ea"/>
            <a:cs typeface="Calibri"/>
          </a:endParaRPr>
        </a:p>
      </xdr:txBody>
    </xdr:sp>
    <xdr:clientData/>
  </xdr:twoCellAnchor>
  <xdr:twoCellAnchor>
    <xdr:from>
      <xdr:col>4</xdr:col>
      <xdr:colOff>219075</xdr:colOff>
      <xdr:row>7</xdr:row>
      <xdr:rowOff>190502</xdr:rowOff>
    </xdr:from>
    <xdr:to>
      <xdr:col>6</xdr:col>
      <xdr:colOff>202406</xdr:colOff>
      <xdr:row>9</xdr:row>
      <xdr:rowOff>47625</xdr:rowOff>
    </xdr:to>
    <xdr:sp macro="" textlink="">
      <xdr:nvSpPr>
        <xdr:cNvPr id="20" name="TextBox 19">
          <a:extLst>
            <a:ext uri="{FF2B5EF4-FFF2-40B4-BE49-F238E27FC236}">
              <a16:creationId xmlns:a16="http://schemas.microsoft.com/office/drawing/2014/main" id="{E88422D3-DC63-4C92-9AD9-AB42E0FE1E9E}"/>
            </a:ext>
          </a:extLst>
        </xdr:cNvPr>
        <xdr:cNvSpPr txBox="1"/>
      </xdr:nvSpPr>
      <xdr:spPr>
        <a:xfrm>
          <a:off x="2981325" y="1607346"/>
          <a:ext cx="1364456" cy="26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 OF ITEMS</a:t>
          </a:r>
        </a:p>
      </xdr:txBody>
    </xdr:sp>
    <xdr:clientData/>
  </xdr:twoCellAnchor>
  <xdr:twoCellAnchor>
    <xdr:from>
      <xdr:col>8</xdr:col>
      <xdr:colOff>407196</xdr:colOff>
      <xdr:row>6</xdr:row>
      <xdr:rowOff>80962</xdr:rowOff>
    </xdr:from>
    <xdr:to>
      <xdr:col>9</xdr:col>
      <xdr:colOff>164307</xdr:colOff>
      <xdr:row>7</xdr:row>
      <xdr:rowOff>176213</xdr:rowOff>
    </xdr:to>
    <xdr:sp macro="" textlink="'Pivot Tables'!D10">
      <xdr:nvSpPr>
        <xdr:cNvPr id="21" name="TextBox 20">
          <a:extLst>
            <a:ext uri="{FF2B5EF4-FFF2-40B4-BE49-F238E27FC236}">
              <a16:creationId xmlns:a16="http://schemas.microsoft.com/office/drawing/2014/main" id="{6D4CBA78-5679-4023-B9E2-C9A9F831ADA5}"/>
            </a:ext>
          </a:extLst>
        </xdr:cNvPr>
        <xdr:cNvSpPr txBox="1"/>
      </xdr:nvSpPr>
      <xdr:spPr>
        <a:xfrm>
          <a:off x="5931696" y="1295400"/>
          <a:ext cx="447674"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E081CA-7312-4080-8492-6655DF3BC311}" type="TxLink">
            <a:rPr lang="en-US" sz="1600" b="1" i="0" u="none" strike="noStrike">
              <a:solidFill>
                <a:srgbClr val="000000"/>
              </a:solidFill>
              <a:latin typeface="Calibri"/>
              <a:ea typeface="+mn-ea"/>
              <a:cs typeface="Calibri"/>
            </a:rPr>
            <a:pPr marL="0" indent="0"/>
            <a:t>4.0</a:t>
          </a:fld>
          <a:endParaRPr lang="en-IN" sz="1600" b="1" i="0" u="none" strike="noStrike">
            <a:solidFill>
              <a:srgbClr val="000000"/>
            </a:solidFill>
            <a:latin typeface="Calibri"/>
            <a:ea typeface="+mn-ea"/>
            <a:cs typeface="Calibri"/>
          </a:endParaRPr>
        </a:p>
      </xdr:txBody>
    </xdr:sp>
    <xdr:clientData/>
  </xdr:twoCellAnchor>
  <xdr:twoCellAnchor>
    <xdr:from>
      <xdr:col>8</xdr:col>
      <xdr:colOff>361950</xdr:colOff>
      <xdr:row>7</xdr:row>
      <xdr:rowOff>119063</xdr:rowOff>
    </xdr:from>
    <xdr:to>
      <xdr:col>10</xdr:col>
      <xdr:colOff>547687</xdr:colOff>
      <xdr:row>9</xdr:row>
      <xdr:rowOff>54771</xdr:rowOff>
    </xdr:to>
    <xdr:sp macro="" textlink="">
      <xdr:nvSpPr>
        <xdr:cNvPr id="22" name="TextBox 21">
          <a:extLst>
            <a:ext uri="{FF2B5EF4-FFF2-40B4-BE49-F238E27FC236}">
              <a16:creationId xmlns:a16="http://schemas.microsoft.com/office/drawing/2014/main" id="{D023C28A-C24D-4BE9-BB96-4D44D115CE15}"/>
            </a:ext>
          </a:extLst>
        </xdr:cNvPr>
        <xdr:cNvSpPr txBox="1"/>
      </xdr:nvSpPr>
      <xdr:spPr>
        <a:xfrm>
          <a:off x="5886450" y="1535907"/>
          <a:ext cx="1566862" cy="34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11</xdr:col>
      <xdr:colOff>437139</xdr:colOff>
      <xdr:row>2</xdr:row>
      <xdr:rowOff>14286</xdr:rowOff>
    </xdr:from>
    <xdr:to>
      <xdr:col>12</xdr:col>
      <xdr:colOff>188118</xdr:colOff>
      <xdr:row>3</xdr:row>
      <xdr:rowOff>35718</xdr:rowOff>
    </xdr:to>
    <xdr:pic>
      <xdr:nvPicPr>
        <xdr:cNvPr id="25" name="Picture 24">
          <a:extLst>
            <a:ext uri="{FF2B5EF4-FFF2-40B4-BE49-F238E27FC236}">
              <a16:creationId xmlns:a16="http://schemas.microsoft.com/office/drawing/2014/main" id="{6ACDFB9C-87CB-D2A5-A2BA-ADEEE28AA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3327" y="419099"/>
          <a:ext cx="441541" cy="223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103382</xdr:colOff>
      <xdr:row>2</xdr:row>
      <xdr:rowOff>64292</xdr:rowOff>
    </xdr:from>
    <xdr:to>
      <xdr:col>7</xdr:col>
      <xdr:colOff>540543</xdr:colOff>
      <xdr:row>3</xdr:row>
      <xdr:rowOff>83343</xdr:rowOff>
    </xdr:to>
    <xdr:pic>
      <xdr:nvPicPr>
        <xdr:cNvPr id="27" name="Picture 26">
          <a:extLst>
            <a:ext uri="{FF2B5EF4-FFF2-40B4-BE49-F238E27FC236}">
              <a16:creationId xmlns:a16="http://schemas.microsoft.com/office/drawing/2014/main" id="{A10B1234-C1DA-B675-693D-03FBE7186A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7320" y="469105"/>
          <a:ext cx="437161" cy="221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247648</xdr:colOff>
      <xdr:row>6</xdr:row>
      <xdr:rowOff>123824</xdr:rowOff>
    </xdr:from>
    <xdr:to>
      <xdr:col>7</xdr:col>
      <xdr:colOff>600073</xdr:colOff>
      <xdr:row>7</xdr:row>
      <xdr:rowOff>202405</xdr:rowOff>
    </xdr:to>
    <xdr:pic>
      <xdr:nvPicPr>
        <xdr:cNvPr id="30" name="Picture 29">
          <a:extLst>
            <a:ext uri="{FF2B5EF4-FFF2-40B4-BE49-F238E27FC236}">
              <a16:creationId xmlns:a16="http://schemas.microsoft.com/office/drawing/2014/main" id="{D72E22FA-4FFE-08C1-8190-5C058B8F66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1586" y="1338262"/>
          <a:ext cx="352425" cy="280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456584</xdr:colOff>
      <xdr:row>6</xdr:row>
      <xdr:rowOff>107156</xdr:rowOff>
    </xdr:from>
    <xdr:to>
      <xdr:col>12</xdr:col>
      <xdr:colOff>192881</xdr:colOff>
      <xdr:row>7</xdr:row>
      <xdr:rowOff>166687</xdr:rowOff>
    </xdr:to>
    <xdr:pic>
      <xdr:nvPicPr>
        <xdr:cNvPr id="31" name="Picture 30">
          <a:extLst>
            <a:ext uri="{FF2B5EF4-FFF2-40B4-BE49-F238E27FC236}">
              <a16:creationId xmlns:a16="http://schemas.microsoft.com/office/drawing/2014/main" id="{17CA70CC-3730-9967-9B80-6FC5C8D72CC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052772" y="1321594"/>
          <a:ext cx="426859" cy="26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157161</xdr:colOff>
      <xdr:row>11</xdr:row>
      <xdr:rowOff>47624</xdr:rowOff>
    </xdr:from>
    <xdr:to>
      <xdr:col>12</xdr:col>
      <xdr:colOff>404813</xdr:colOff>
      <xdr:row>31</xdr:row>
      <xdr:rowOff>95248</xdr:rowOff>
    </xdr:to>
    <xdr:sp macro="" textlink="">
      <xdr:nvSpPr>
        <xdr:cNvPr id="32" name="Rectangle: Rounded Corners 31">
          <a:extLst>
            <a:ext uri="{FF2B5EF4-FFF2-40B4-BE49-F238E27FC236}">
              <a16:creationId xmlns:a16="http://schemas.microsoft.com/office/drawing/2014/main" id="{3DD4418E-6BF9-43B9-8DF0-791D8B77D25C}"/>
            </a:ext>
          </a:extLst>
        </xdr:cNvPr>
        <xdr:cNvSpPr/>
      </xdr:nvSpPr>
      <xdr:spPr>
        <a:xfrm>
          <a:off x="2919411" y="2274093"/>
          <a:ext cx="5772152" cy="4095749"/>
        </a:xfrm>
        <a:prstGeom prst="roundRect">
          <a:avLst>
            <a:gd name="adj" fmla="val 329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280987</xdr:colOff>
      <xdr:row>11</xdr:row>
      <xdr:rowOff>47624</xdr:rowOff>
    </xdr:from>
    <xdr:to>
      <xdr:col>8</xdr:col>
      <xdr:colOff>280987</xdr:colOff>
      <xdr:row>31</xdr:row>
      <xdr:rowOff>95248</xdr:rowOff>
    </xdr:to>
    <xdr:cxnSp macro="">
      <xdr:nvCxnSpPr>
        <xdr:cNvPr id="34" name="Straight Connector 33">
          <a:extLst>
            <a:ext uri="{FF2B5EF4-FFF2-40B4-BE49-F238E27FC236}">
              <a16:creationId xmlns:a16="http://schemas.microsoft.com/office/drawing/2014/main" id="{BD04A153-8630-EBBF-D22C-31405E870E2A}"/>
            </a:ext>
          </a:extLst>
        </xdr:cNvPr>
        <xdr:cNvCxnSpPr>
          <a:stCxn id="32" idx="0"/>
          <a:endCxn id="32" idx="2"/>
        </xdr:cNvCxnSpPr>
      </xdr:nvCxnSpPr>
      <xdr:spPr>
        <a:xfrm>
          <a:off x="5805487" y="2274093"/>
          <a:ext cx="0" cy="409574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119062</xdr:colOff>
      <xdr:row>20</xdr:row>
      <xdr:rowOff>21435</xdr:rowOff>
    </xdr:from>
    <xdr:to>
      <xdr:col>8</xdr:col>
      <xdr:colOff>111919</xdr:colOff>
      <xdr:row>20</xdr:row>
      <xdr:rowOff>47625</xdr:rowOff>
    </xdr:to>
    <xdr:cxnSp macro="">
      <xdr:nvCxnSpPr>
        <xdr:cNvPr id="35" name="Straight Connector 34">
          <a:extLst>
            <a:ext uri="{FF2B5EF4-FFF2-40B4-BE49-F238E27FC236}">
              <a16:creationId xmlns:a16="http://schemas.microsoft.com/office/drawing/2014/main" id="{E7F9BC4F-CA95-4083-8548-216589A2D2E8}"/>
            </a:ext>
          </a:extLst>
        </xdr:cNvPr>
        <xdr:cNvCxnSpPr/>
      </xdr:nvCxnSpPr>
      <xdr:spPr>
        <a:xfrm flipH="1">
          <a:off x="2881312" y="4069560"/>
          <a:ext cx="2755107" cy="2619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133349</xdr:colOff>
      <xdr:row>11</xdr:row>
      <xdr:rowOff>166686</xdr:rowOff>
    </xdr:from>
    <xdr:to>
      <xdr:col>8</xdr:col>
      <xdr:colOff>226219</xdr:colOff>
      <xdr:row>19</xdr:row>
      <xdr:rowOff>142875</xdr:rowOff>
    </xdr:to>
    <xdr:graphicFrame macro="">
      <xdr:nvGraphicFramePr>
        <xdr:cNvPr id="37" name="Chart 36">
          <a:extLst>
            <a:ext uri="{FF2B5EF4-FFF2-40B4-BE49-F238E27FC236}">
              <a16:creationId xmlns:a16="http://schemas.microsoft.com/office/drawing/2014/main" id="{FDE945E5-6ECC-43C1-9DC3-677C16ED4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388143</xdr:colOff>
      <xdr:row>11</xdr:row>
      <xdr:rowOff>57151</xdr:rowOff>
    </xdr:from>
    <xdr:to>
      <xdr:col>7</xdr:col>
      <xdr:colOff>221456</xdr:colOff>
      <xdr:row>12</xdr:row>
      <xdr:rowOff>104777</xdr:rowOff>
    </xdr:to>
    <xdr:sp macro="" textlink="">
      <xdr:nvSpPr>
        <xdr:cNvPr id="38" name="TextBox 37">
          <a:extLst>
            <a:ext uri="{FF2B5EF4-FFF2-40B4-BE49-F238E27FC236}">
              <a16:creationId xmlns:a16="http://schemas.microsoft.com/office/drawing/2014/main" id="{25077BD5-6126-4BEA-9CCA-056017C4D0FD}"/>
            </a:ext>
          </a:extLst>
        </xdr:cNvPr>
        <xdr:cNvSpPr txBox="1"/>
      </xdr:nvSpPr>
      <xdr:spPr>
        <a:xfrm>
          <a:off x="3840956" y="2283620"/>
          <a:ext cx="1214438" cy="250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65000"/>
                  <a:lumOff val="35000"/>
                </a:schemeClr>
              </a:solidFill>
            </a:rPr>
            <a:t>FAT</a:t>
          </a:r>
          <a:r>
            <a:rPr lang="en-IN" sz="1200" b="1" baseline="0">
              <a:solidFill>
                <a:schemeClr val="tx1">
                  <a:lumMod val="65000"/>
                  <a:lumOff val="35000"/>
                </a:schemeClr>
              </a:solidFill>
            </a:rPr>
            <a:t> CONTENT</a:t>
          </a:r>
          <a:endParaRPr lang="en-IN" sz="1200" b="1">
            <a:solidFill>
              <a:schemeClr val="tx1">
                <a:lumMod val="65000"/>
                <a:lumOff val="35000"/>
              </a:schemeClr>
            </a:solidFill>
          </a:endParaRPr>
        </a:p>
      </xdr:txBody>
    </xdr:sp>
    <xdr:clientData/>
  </xdr:twoCellAnchor>
  <xdr:twoCellAnchor>
    <xdr:from>
      <xdr:col>4</xdr:col>
      <xdr:colOff>166686</xdr:colOff>
      <xdr:row>20</xdr:row>
      <xdr:rowOff>114300</xdr:rowOff>
    </xdr:from>
    <xdr:to>
      <xdr:col>8</xdr:col>
      <xdr:colOff>190499</xdr:colOff>
      <xdr:row>22</xdr:row>
      <xdr:rowOff>71436</xdr:rowOff>
    </xdr:to>
    <xdr:sp macro="" textlink="">
      <xdr:nvSpPr>
        <xdr:cNvPr id="46" name="TextBox 45">
          <a:extLst>
            <a:ext uri="{FF2B5EF4-FFF2-40B4-BE49-F238E27FC236}">
              <a16:creationId xmlns:a16="http://schemas.microsoft.com/office/drawing/2014/main" id="{2EE9495F-EE5C-4299-BDB8-FA50890CF4B5}"/>
            </a:ext>
          </a:extLst>
        </xdr:cNvPr>
        <xdr:cNvSpPr txBox="1"/>
      </xdr:nvSpPr>
      <xdr:spPr>
        <a:xfrm>
          <a:off x="2928936" y="4162425"/>
          <a:ext cx="2786063"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65000"/>
                  <a:lumOff val="35000"/>
                </a:schemeClr>
              </a:solidFill>
            </a:rPr>
            <a:t>FAT</a:t>
          </a:r>
          <a:r>
            <a:rPr lang="en-IN" sz="1100" b="1" baseline="0">
              <a:solidFill>
                <a:schemeClr val="tx1">
                  <a:lumMod val="65000"/>
                  <a:lumOff val="35000"/>
                </a:schemeClr>
              </a:solidFill>
            </a:rPr>
            <a:t> CONTENT BY OUTLET FOR TOTAL SALES</a:t>
          </a:r>
          <a:endParaRPr lang="en-IN" sz="1100" b="1">
            <a:solidFill>
              <a:schemeClr val="tx1">
                <a:lumMod val="65000"/>
                <a:lumOff val="35000"/>
              </a:schemeClr>
            </a:solidFill>
          </a:endParaRPr>
        </a:p>
      </xdr:txBody>
    </xdr:sp>
    <xdr:clientData/>
  </xdr:twoCellAnchor>
  <xdr:twoCellAnchor>
    <xdr:from>
      <xdr:col>4</xdr:col>
      <xdr:colOff>259557</xdr:colOff>
      <xdr:row>22</xdr:row>
      <xdr:rowOff>7143</xdr:rowOff>
    </xdr:from>
    <xdr:to>
      <xdr:col>8</xdr:col>
      <xdr:colOff>130969</xdr:colOff>
      <xdr:row>30</xdr:row>
      <xdr:rowOff>130968</xdr:rowOff>
    </xdr:to>
    <xdr:graphicFrame macro="">
      <xdr:nvGraphicFramePr>
        <xdr:cNvPr id="49" name="Chart 48">
          <a:extLst>
            <a:ext uri="{FF2B5EF4-FFF2-40B4-BE49-F238E27FC236}">
              <a16:creationId xmlns:a16="http://schemas.microsoft.com/office/drawing/2014/main" id="{61F4F37E-A7A4-4E2D-8BC0-974832680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335754</xdr:colOff>
      <xdr:row>12</xdr:row>
      <xdr:rowOff>107156</xdr:rowOff>
    </xdr:from>
    <xdr:to>
      <xdr:col>12</xdr:col>
      <xdr:colOff>380999</xdr:colOff>
      <xdr:row>31</xdr:row>
      <xdr:rowOff>83343</xdr:rowOff>
    </xdr:to>
    <xdr:graphicFrame macro="">
      <xdr:nvGraphicFramePr>
        <xdr:cNvPr id="50" name="Chart 49">
          <a:extLst>
            <a:ext uri="{FF2B5EF4-FFF2-40B4-BE49-F238E27FC236}">
              <a16:creationId xmlns:a16="http://schemas.microsoft.com/office/drawing/2014/main" id="{97FFD743-CFFC-44A3-AD94-F867BAA44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623887</xdr:colOff>
      <xdr:row>11</xdr:row>
      <xdr:rowOff>42863</xdr:rowOff>
    </xdr:from>
    <xdr:to>
      <xdr:col>12</xdr:col>
      <xdr:colOff>214313</xdr:colOff>
      <xdr:row>12</xdr:row>
      <xdr:rowOff>95250</xdr:rowOff>
    </xdr:to>
    <xdr:sp macro="" textlink="">
      <xdr:nvSpPr>
        <xdr:cNvPr id="51" name="TextBox 50">
          <a:extLst>
            <a:ext uri="{FF2B5EF4-FFF2-40B4-BE49-F238E27FC236}">
              <a16:creationId xmlns:a16="http://schemas.microsoft.com/office/drawing/2014/main" id="{CE25F580-F238-49EF-9320-1D558B827BB4}"/>
            </a:ext>
          </a:extLst>
        </xdr:cNvPr>
        <xdr:cNvSpPr txBox="1"/>
      </xdr:nvSpPr>
      <xdr:spPr>
        <a:xfrm>
          <a:off x="6148387" y="2269332"/>
          <a:ext cx="2352676" cy="254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65000"/>
                  <a:lumOff val="35000"/>
                </a:schemeClr>
              </a:solidFill>
              <a:latin typeface="Segoe UI Semibold" panose="020B0702040204020203" pitchFamily="34" charset="0"/>
              <a:cs typeface="Segoe UI Semibold" panose="020B0702040204020203" pitchFamily="34" charset="0"/>
            </a:rPr>
            <a:t>TOTAL</a:t>
          </a:r>
          <a:r>
            <a:rPr lang="en-IN" sz="1100" b="1" baseline="0">
              <a:solidFill>
                <a:schemeClr val="tx1">
                  <a:lumMod val="65000"/>
                  <a:lumOff val="35000"/>
                </a:schemeClr>
              </a:solidFill>
              <a:latin typeface="Segoe UI Semibold" panose="020B0702040204020203" pitchFamily="34" charset="0"/>
              <a:cs typeface="Segoe UI Semibold" panose="020B0702040204020203" pitchFamily="34" charset="0"/>
            </a:rPr>
            <a:t> SALES BY  ITEM TYPE</a:t>
          </a:r>
          <a:endParaRPr lang="en-IN" sz="11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488156</xdr:colOff>
      <xdr:row>0</xdr:row>
      <xdr:rowOff>197644</xdr:rowOff>
    </xdr:from>
    <xdr:to>
      <xdr:col>21</xdr:col>
      <xdr:colOff>95250</xdr:colOff>
      <xdr:row>31</xdr:row>
      <xdr:rowOff>83343</xdr:rowOff>
    </xdr:to>
    <xdr:sp macro="" textlink="">
      <xdr:nvSpPr>
        <xdr:cNvPr id="52" name="Rectangle: Rounded Corners 51">
          <a:extLst>
            <a:ext uri="{FF2B5EF4-FFF2-40B4-BE49-F238E27FC236}">
              <a16:creationId xmlns:a16="http://schemas.microsoft.com/office/drawing/2014/main" id="{D82239D8-D5AF-4292-8393-D80A6D4A5DAE}"/>
            </a:ext>
          </a:extLst>
        </xdr:cNvPr>
        <xdr:cNvSpPr/>
      </xdr:nvSpPr>
      <xdr:spPr>
        <a:xfrm>
          <a:off x="8774906" y="197644"/>
          <a:ext cx="5822157" cy="6160293"/>
        </a:xfrm>
        <a:prstGeom prst="roundRect">
          <a:avLst>
            <a:gd name="adj" fmla="val 2549"/>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95249</xdr:colOff>
      <xdr:row>2</xdr:row>
      <xdr:rowOff>35718</xdr:rowOff>
    </xdr:from>
    <xdr:to>
      <xdr:col>20</xdr:col>
      <xdr:colOff>535781</xdr:colOff>
      <xdr:row>10</xdr:row>
      <xdr:rowOff>178593</xdr:rowOff>
    </xdr:to>
    <xdr:graphicFrame macro="">
      <xdr:nvGraphicFramePr>
        <xdr:cNvPr id="53" name="Chart 52">
          <a:extLst>
            <a:ext uri="{FF2B5EF4-FFF2-40B4-BE49-F238E27FC236}">
              <a16:creationId xmlns:a16="http://schemas.microsoft.com/office/drawing/2014/main" id="{546ACECF-03A2-4EBA-9B04-FBBB676F5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661988</xdr:colOff>
      <xdr:row>0</xdr:row>
      <xdr:rowOff>180978</xdr:rowOff>
    </xdr:from>
    <xdr:to>
      <xdr:col>18</xdr:col>
      <xdr:colOff>488156</xdr:colOff>
      <xdr:row>2</xdr:row>
      <xdr:rowOff>59531</xdr:rowOff>
    </xdr:to>
    <xdr:sp macro="" textlink="">
      <xdr:nvSpPr>
        <xdr:cNvPr id="54" name="TextBox 53">
          <a:extLst>
            <a:ext uri="{FF2B5EF4-FFF2-40B4-BE49-F238E27FC236}">
              <a16:creationId xmlns:a16="http://schemas.microsoft.com/office/drawing/2014/main" id="{54B3B2F2-0522-42BA-80F9-B8F4333C5BBF}"/>
            </a:ext>
          </a:extLst>
        </xdr:cNvPr>
        <xdr:cNvSpPr txBox="1"/>
      </xdr:nvSpPr>
      <xdr:spPr>
        <a:xfrm>
          <a:off x="10329863" y="180978"/>
          <a:ext cx="2588418" cy="283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bg1">
                  <a:lumMod val="50000"/>
                </a:schemeClr>
              </a:solidFill>
              <a:latin typeface="Segoe UI Semibold" panose="020B0702040204020203" pitchFamily="34" charset="0"/>
              <a:cs typeface="Segoe UI Semibold" panose="020B0702040204020203" pitchFamily="34" charset="0"/>
            </a:rPr>
            <a:t>OUTLET</a:t>
          </a:r>
          <a:r>
            <a:rPr lang="en-IN" sz="1100" b="0">
              <a:solidFill>
                <a:schemeClr val="bg1">
                  <a:lumMod val="65000"/>
                </a:schemeClr>
              </a:solidFill>
              <a:latin typeface="Segoe UI Semibold" panose="020B0702040204020203" pitchFamily="34" charset="0"/>
              <a:cs typeface="Segoe UI Semibold" panose="020B0702040204020203" pitchFamily="34" charset="0"/>
            </a:rPr>
            <a:t> </a:t>
          </a:r>
          <a:r>
            <a:rPr lang="en-IN" sz="1100" b="0">
              <a:solidFill>
                <a:schemeClr val="bg1">
                  <a:lumMod val="50000"/>
                </a:schemeClr>
              </a:solidFill>
              <a:latin typeface="Segoe UI Semibold" panose="020B0702040204020203" pitchFamily="34" charset="0"/>
              <a:cs typeface="Segoe UI Semibold" panose="020B0702040204020203" pitchFamily="34" charset="0"/>
            </a:rPr>
            <a:t>ESTABLISHMENT</a:t>
          </a:r>
        </a:p>
      </xdr:txBody>
    </xdr:sp>
    <xdr:clientData/>
  </xdr:twoCellAnchor>
  <xdr:twoCellAnchor>
    <xdr:from>
      <xdr:col>12</xdr:col>
      <xdr:colOff>464344</xdr:colOff>
      <xdr:row>10</xdr:row>
      <xdr:rowOff>166699</xdr:rowOff>
    </xdr:from>
    <xdr:to>
      <xdr:col>21</xdr:col>
      <xdr:colOff>130968</xdr:colOff>
      <xdr:row>11</xdr:row>
      <xdr:rowOff>12</xdr:rowOff>
    </xdr:to>
    <xdr:cxnSp macro="">
      <xdr:nvCxnSpPr>
        <xdr:cNvPr id="56" name="Straight Connector 55">
          <a:extLst>
            <a:ext uri="{FF2B5EF4-FFF2-40B4-BE49-F238E27FC236}">
              <a16:creationId xmlns:a16="http://schemas.microsoft.com/office/drawing/2014/main" id="{1757C2B6-72E0-47EB-1911-3A6A728DF835}"/>
            </a:ext>
          </a:extLst>
        </xdr:cNvPr>
        <xdr:cNvCxnSpPr/>
      </xdr:nvCxnSpPr>
      <xdr:spPr>
        <a:xfrm flipV="1">
          <a:off x="8751094" y="2190762"/>
          <a:ext cx="5881687" cy="3571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476250</xdr:colOff>
      <xdr:row>12</xdr:row>
      <xdr:rowOff>11908</xdr:rowOff>
    </xdr:from>
    <xdr:to>
      <xdr:col>16</xdr:col>
      <xdr:colOff>440529</xdr:colOff>
      <xdr:row>20</xdr:row>
      <xdr:rowOff>107156</xdr:rowOff>
    </xdr:to>
    <xdr:graphicFrame macro="">
      <xdr:nvGraphicFramePr>
        <xdr:cNvPr id="62" name="Chart 61">
          <a:extLst>
            <a:ext uri="{FF2B5EF4-FFF2-40B4-BE49-F238E27FC236}">
              <a16:creationId xmlns:a16="http://schemas.microsoft.com/office/drawing/2014/main" id="{94E5F1BB-0EC7-48FC-9575-2155637CA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226217</xdr:colOff>
      <xdr:row>11</xdr:row>
      <xdr:rowOff>11909</xdr:rowOff>
    </xdr:from>
    <xdr:to>
      <xdr:col>15</xdr:col>
      <xdr:colOff>678655</xdr:colOff>
      <xdr:row>12</xdr:row>
      <xdr:rowOff>95251</xdr:rowOff>
    </xdr:to>
    <xdr:sp macro="" textlink="">
      <xdr:nvSpPr>
        <xdr:cNvPr id="63" name="TextBox 62">
          <a:extLst>
            <a:ext uri="{FF2B5EF4-FFF2-40B4-BE49-F238E27FC236}">
              <a16:creationId xmlns:a16="http://schemas.microsoft.com/office/drawing/2014/main" id="{01078A07-7CFF-4BC7-B12B-BB6C9E0AEB26}"/>
            </a:ext>
          </a:extLst>
        </xdr:cNvPr>
        <xdr:cNvSpPr txBox="1"/>
      </xdr:nvSpPr>
      <xdr:spPr>
        <a:xfrm>
          <a:off x="9203530" y="2238378"/>
          <a:ext cx="1833563"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bg1">
                  <a:lumMod val="50000"/>
                </a:schemeClr>
              </a:solidFill>
              <a:latin typeface="Segoe UI Semibold" panose="020B0702040204020203" pitchFamily="34" charset="0"/>
              <a:cs typeface="Segoe UI Semibold" panose="020B0702040204020203" pitchFamily="34" charset="0"/>
            </a:rPr>
            <a:t>OUTLET</a:t>
          </a:r>
          <a:r>
            <a:rPr lang="en-IN" sz="1100" b="0">
              <a:solidFill>
                <a:schemeClr val="bg1">
                  <a:lumMod val="65000"/>
                </a:schemeClr>
              </a:solidFill>
              <a:latin typeface="Segoe UI Semibold" panose="020B0702040204020203" pitchFamily="34" charset="0"/>
              <a:cs typeface="Segoe UI Semibold" panose="020B0702040204020203" pitchFamily="34" charset="0"/>
            </a:rPr>
            <a:t> </a:t>
          </a:r>
          <a:r>
            <a:rPr lang="en-IN" sz="1100" b="0">
              <a:solidFill>
                <a:schemeClr val="bg1">
                  <a:lumMod val="50000"/>
                </a:schemeClr>
              </a:solidFill>
              <a:latin typeface="Segoe UI Semibold" panose="020B0702040204020203" pitchFamily="34" charset="0"/>
              <a:cs typeface="Segoe UI Semibold" panose="020B0702040204020203" pitchFamily="34" charset="0"/>
            </a:rPr>
            <a:t>SIZE</a:t>
          </a:r>
        </a:p>
      </xdr:txBody>
    </xdr:sp>
    <xdr:clientData/>
  </xdr:twoCellAnchor>
  <xdr:twoCellAnchor>
    <xdr:from>
      <xdr:col>12</xdr:col>
      <xdr:colOff>438150</xdr:colOff>
      <xdr:row>20</xdr:row>
      <xdr:rowOff>128601</xdr:rowOff>
    </xdr:from>
    <xdr:to>
      <xdr:col>21</xdr:col>
      <xdr:colOff>104774</xdr:colOff>
      <xdr:row>20</xdr:row>
      <xdr:rowOff>164320</xdr:rowOff>
    </xdr:to>
    <xdr:cxnSp macro="">
      <xdr:nvCxnSpPr>
        <xdr:cNvPr id="64" name="Straight Connector 63">
          <a:extLst>
            <a:ext uri="{FF2B5EF4-FFF2-40B4-BE49-F238E27FC236}">
              <a16:creationId xmlns:a16="http://schemas.microsoft.com/office/drawing/2014/main" id="{B54A87E0-AF1D-4F68-8E82-DF9297A6DEDE}"/>
            </a:ext>
          </a:extLst>
        </xdr:cNvPr>
        <xdr:cNvCxnSpPr/>
      </xdr:nvCxnSpPr>
      <xdr:spPr>
        <a:xfrm flipV="1">
          <a:off x="8724900" y="4176726"/>
          <a:ext cx="5881687" cy="3571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516731</xdr:colOff>
      <xdr:row>10</xdr:row>
      <xdr:rowOff>200023</xdr:rowOff>
    </xdr:from>
    <xdr:to>
      <xdr:col>16</xdr:col>
      <xdr:colOff>547687</xdr:colOff>
      <xdr:row>20</xdr:row>
      <xdr:rowOff>154781</xdr:rowOff>
    </xdr:to>
    <xdr:cxnSp macro="">
      <xdr:nvCxnSpPr>
        <xdr:cNvPr id="65" name="Straight Connector 64">
          <a:extLst>
            <a:ext uri="{FF2B5EF4-FFF2-40B4-BE49-F238E27FC236}">
              <a16:creationId xmlns:a16="http://schemas.microsoft.com/office/drawing/2014/main" id="{84B43E9C-9CCF-43DF-BF6E-BA93BBC95F70}"/>
            </a:ext>
          </a:extLst>
        </xdr:cNvPr>
        <xdr:cNvCxnSpPr/>
      </xdr:nvCxnSpPr>
      <xdr:spPr>
        <a:xfrm>
          <a:off x="11565731" y="2224086"/>
          <a:ext cx="30956" cy="197882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571499</xdr:colOff>
      <xdr:row>12</xdr:row>
      <xdr:rowOff>107156</xdr:rowOff>
    </xdr:from>
    <xdr:to>
      <xdr:col>21</xdr:col>
      <xdr:colOff>59531</xdr:colOff>
      <xdr:row>20</xdr:row>
      <xdr:rowOff>47625</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AE223D2E-1576-4DEE-AD2C-2D1DCBDEBC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544299" y="2507456"/>
              <a:ext cx="2917032" cy="15406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450054</xdr:colOff>
      <xdr:row>10</xdr:row>
      <xdr:rowOff>176214</xdr:rowOff>
    </xdr:from>
    <xdr:to>
      <xdr:col>20</xdr:col>
      <xdr:colOff>211930</xdr:colOff>
      <xdr:row>12</xdr:row>
      <xdr:rowOff>57150</xdr:rowOff>
    </xdr:to>
    <xdr:sp macro="" textlink="">
      <xdr:nvSpPr>
        <xdr:cNvPr id="68" name="TextBox 67">
          <a:extLst>
            <a:ext uri="{FF2B5EF4-FFF2-40B4-BE49-F238E27FC236}">
              <a16:creationId xmlns:a16="http://schemas.microsoft.com/office/drawing/2014/main" id="{F417DAB5-3E32-4375-AA26-C72CBEDB33C8}"/>
            </a:ext>
          </a:extLst>
        </xdr:cNvPr>
        <xdr:cNvSpPr txBox="1"/>
      </xdr:nvSpPr>
      <xdr:spPr>
        <a:xfrm>
          <a:off x="12189617" y="2200277"/>
          <a:ext cx="1833563"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bg1">
                  <a:lumMod val="50000"/>
                </a:schemeClr>
              </a:solidFill>
              <a:latin typeface="Segoe UI Semibold" panose="020B0702040204020203" pitchFamily="34" charset="0"/>
              <a:cs typeface="Segoe UI Semibold" panose="020B0702040204020203" pitchFamily="34" charset="0"/>
            </a:rPr>
            <a:t>OUTLET</a:t>
          </a:r>
          <a:r>
            <a:rPr lang="en-IN" sz="1100" b="0">
              <a:solidFill>
                <a:schemeClr val="bg1">
                  <a:lumMod val="65000"/>
                </a:schemeClr>
              </a:solidFill>
              <a:latin typeface="Segoe UI Semibold" panose="020B0702040204020203" pitchFamily="34" charset="0"/>
              <a:cs typeface="Segoe UI Semibold" panose="020B0702040204020203" pitchFamily="34" charset="0"/>
            </a:rPr>
            <a:t> </a:t>
          </a:r>
          <a:r>
            <a:rPr lang="en-IN" sz="1100" b="0">
              <a:solidFill>
                <a:schemeClr val="bg1">
                  <a:lumMod val="50000"/>
                </a:schemeClr>
              </a:solidFill>
              <a:latin typeface="Segoe UI Semibold" panose="020B0702040204020203" pitchFamily="34" charset="0"/>
              <a:cs typeface="Segoe UI Semibold" panose="020B0702040204020203" pitchFamily="34" charset="0"/>
            </a:rPr>
            <a:t>LOCATION</a:t>
          </a:r>
        </a:p>
      </xdr:txBody>
    </xdr:sp>
    <xdr:clientData/>
  </xdr:twoCellAnchor>
  <xdr:twoCellAnchor>
    <xdr:from>
      <xdr:col>12</xdr:col>
      <xdr:colOff>452438</xdr:colOff>
      <xdr:row>21</xdr:row>
      <xdr:rowOff>190500</xdr:rowOff>
    </xdr:from>
    <xdr:to>
      <xdr:col>15</xdr:col>
      <xdr:colOff>583405</xdr:colOff>
      <xdr:row>30</xdr:row>
      <xdr:rowOff>59531</xdr:rowOff>
    </xdr:to>
    <xdr:graphicFrame macro="">
      <xdr:nvGraphicFramePr>
        <xdr:cNvPr id="7" name="Chart 6">
          <a:extLst>
            <a:ext uri="{FF2B5EF4-FFF2-40B4-BE49-F238E27FC236}">
              <a16:creationId xmlns:a16="http://schemas.microsoft.com/office/drawing/2014/main" id="{9706EEE9-7B27-481D-BDF8-77D1A266D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319085</xdr:colOff>
      <xdr:row>20</xdr:row>
      <xdr:rowOff>188122</xdr:rowOff>
    </xdr:from>
    <xdr:to>
      <xdr:col>18</xdr:col>
      <xdr:colOff>80961</xdr:colOff>
      <xdr:row>22</xdr:row>
      <xdr:rowOff>69057</xdr:rowOff>
    </xdr:to>
    <xdr:sp macro="" textlink="">
      <xdr:nvSpPr>
        <xdr:cNvPr id="8" name="TextBox 7">
          <a:extLst>
            <a:ext uri="{FF2B5EF4-FFF2-40B4-BE49-F238E27FC236}">
              <a16:creationId xmlns:a16="http://schemas.microsoft.com/office/drawing/2014/main" id="{6881E83A-6565-4F96-833C-1BD4C1583274}"/>
            </a:ext>
          </a:extLst>
        </xdr:cNvPr>
        <xdr:cNvSpPr txBox="1"/>
      </xdr:nvSpPr>
      <xdr:spPr>
        <a:xfrm>
          <a:off x="10677523" y="4236247"/>
          <a:ext cx="1833563" cy="2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chemeClr val="bg1">
                  <a:lumMod val="50000"/>
                </a:schemeClr>
              </a:solidFill>
              <a:latin typeface="Segoe UI Semibold" panose="020B0702040204020203" pitchFamily="34" charset="0"/>
              <a:cs typeface="Segoe UI Semibold" panose="020B0702040204020203" pitchFamily="34" charset="0"/>
            </a:rPr>
            <a:t>OUTLET</a:t>
          </a:r>
          <a:r>
            <a:rPr lang="en-IN" sz="1100" b="0">
              <a:solidFill>
                <a:schemeClr val="bg1">
                  <a:lumMod val="65000"/>
                </a:schemeClr>
              </a:solidFill>
              <a:latin typeface="Segoe UI Semibold" panose="020B0702040204020203" pitchFamily="34" charset="0"/>
              <a:cs typeface="Segoe UI Semibold" panose="020B0702040204020203" pitchFamily="34" charset="0"/>
            </a:rPr>
            <a:t> </a:t>
          </a:r>
          <a:r>
            <a:rPr lang="en-IN" sz="1100" b="0">
              <a:solidFill>
                <a:schemeClr val="bg1">
                  <a:lumMod val="50000"/>
                </a:schemeClr>
              </a:solidFill>
              <a:latin typeface="Segoe UI Semibold" panose="020B0702040204020203" pitchFamily="34" charset="0"/>
              <a:cs typeface="Segoe UI Semibold" panose="020B0702040204020203" pitchFamily="34" charset="0"/>
            </a:rPr>
            <a:t>TYPE</a:t>
          </a:r>
        </a:p>
      </xdr:txBody>
    </xdr:sp>
    <xdr:clientData/>
  </xdr:twoCellAnchor>
  <xdr:twoCellAnchor>
    <xdr:from>
      <xdr:col>12</xdr:col>
      <xdr:colOff>471487</xdr:colOff>
      <xdr:row>29</xdr:row>
      <xdr:rowOff>197648</xdr:rowOff>
    </xdr:from>
    <xdr:to>
      <xdr:col>14</xdr:col>
      <xdr:colOff>642938</xdr:colOff>
      <xdr:row>31</xdr:row>
      <xdr:rowOff>0</xdr:rowOff>
    </xdr:to>
    <xdr:sp macro="" textlink="">
      <xdr:nvSpPr>
        <xdr:cNvPr id="9" name="TextBox 8">
          <a:extLst>
            <a:ext uri="{FF2B5EF4-FFF2-40B4-BE49-F238E27FC236}">
              <a16:creationId xmlns:a16="http://schemas.microsoft.com/office/drawing/2014/main" id="{4A2C2913-1C5C-47F9-AC33-1EEF6F70C23F}"/>
            </a:ext>
          </a:extLst>
        </xdr:cNvPr>
        <xdr:cNvSpPr txBox="1"/>
      </xdr:nvSpPr>
      <xdr:spPr>
        <a:xfrm>
          <a:off x="8758237" y="6067429"/>
          <a:ext cx="1552576" cy="20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ysClr val="windowText" lastClr="000000"/>
              </a:solidFill>
              <a:latin typeface="Segoe UI Semibold" panose="020B0702040204020203" pitchFamily="34" charset="0"/>
              <a:cs typeface="Segoe UI Semibold" panose="020B0702040204020203" pitchFamily="34" charset="0"/>
            </a:rPr>
            <a:t>TOTAL</a:t>
          </a:r>
          <a:r>
            <a:rPr lang="en-IN" sz="1100" b="0" baseline="0">
              <a:solidFill>
                <a:sysClr val="windowText" lastClr="000000"/>
              </a:solidFill>
              <a:latin typeface="Segoe UI Semibold" panose="020B0702040204020203" pitchFamily="34" charset="0"/>
              <a:cs typeface="Segoe UI Semibold" panose="020B0702040204020203" pitchFamily="34" charset="0"/>
            </a:rPr>
            <a:t> SALES</a:t>
          </a:r>
          <a:endParaRPr lang="en-IN" sz="1100" b="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654842</xdr:colOff>
      <xdr:row>21</xdr:row>
      <xdr:rowOff>178595</xdr:rowOff>
    </xdr:from>
    <xdr:to>
      <xdr:col>18</xdr:col>
      <xdr:colOff>392906</xdr:colOff>
      <xdr:row>29</xdr:row>
      <xdr:rowOff>83345</xdr:rowOff>
    </xdr:to>
    <xdr:graphicFrame macro="">
      <xdr:nvGraphicFramePr>
        <xdr:cNvPr id="16" name="Chart 15">
          <a:extLst>
            <a:ext uri="{FF2B5EF4-FFF2-40B4-BE49-F238E27FC236}">
              <a16:creationId xmlns:a16="http://schemas.microsoft.com/office/drawing/2014/main" id="{036A7F2A-D07D-4A95-B9B7-B9B66FE7A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361950</xdr:colOff>
      <xdr:row>29</xdr:row>
      <xdr:rowOff>171454</xdr:rowOff>
    </xdr:from>
    <xdr:to>
      <xdr:col>17</xdr:col>
      <xdr:colOff>533401</xdr:colOff>
      <xdr:row>30</xdr:row>
      <xdr:rowOff>176212</xdr:rowOff>
    </xdr:to>
    <xdr:sp macro="" textlink="">
      <xdr:nvSpPr>
        <xdr:cNvPr id="23" name="TextBox 22">
          <a:extLst>
            <a:ext uri="{FF2B5EF4-FFF2-40B4-BE49-F238E27FC236}">
              <a16:creationId xmlns:a16="http://schemas.microsoft.com/office/drawing/2014/main" id="{18BEA1F2-1C08-4931-AA79-15DF45C34E4D}"/>
            </a:ext>
          </a:extLst>
        </xdr:cNvPr>
        <xdr:cNvSpPr txBox="1"/>
      </xdr:nvSpPr>
      <xdr:spPr>
        <a:xfrm>
          <a:off x="10720388" y="6041235"/>
          <a:ext cx="1552576" cy="20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baseline="0">
              <a:solidFill>
                <a:sysClr val="windowText" lastClr="000000"/>
              </a:solidFill>
              <a:latin typeface="Segoe UI Semibold" panose="020B0702040204020203" pitchFamily="34" charset="0"/>
              <a:cs typeface="Segoe UI Semibold" panose="020B0702040204020203" pitchFamily="34" charset="0"/>
            </a:rPr>
            <a:t>AVG SALES</a:t>
          </a:r>
          <a:endParaRPr lang="en-IN" sz="1100" b="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369094</xdr:colOff>
      <xdr:row>22</xdr:row>
      <xdr:rowOff>11905</xdr:rowOff>
    </xdr:from>
    <xdr:to>
      <xdr:col>21</xdr:col>
      <xdr:colOff>47625</xdr:colOff>
      <xdr:row>29</xdr:row>
      <xdr:rowOff>59531</xdr:rowOff>
    </xdr:to>
    <xdr:graphicFrame macro="">
      <xdr:nvGraphicFramePr>
        <xdr:cNvPr id="24" name="Chart 23">
          <a:extLst>
            <a:ext uri="{FF2B5EF4-FFF2-40B4-BE49-F238E27FC236}">
              <a16:creationId xmlns:a16="http://schemas.microsoft.com/office/drawing/2014/main" id="{815977C1-C792-42F2-91B3-F2C9E2143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145257</xdr:colOff>
      <xdr:row>29</xdr:row>
      <xdr:rowOff>145260</xdr:rowOff>
    </xdr:from>
    <xdr:to>
      <xdr:col>20</xdr:col>
      <xdr:colOff>316708</xdr:colOff>
      <xdr:row>30</xdr:row>
      <xdr:rowOff>150018</xdr:rowOff>
    </xdr:to>
    <xdr:sp macro="" textlink="">
      <xdr:nvSpPr>
        <xdr:cNvPr id="28" name="TextBox 27">
          <a:extLst>
            <a:ext uri="{FF2B5EF4-FFF2-40B4-BE49-F238E27FC236}">
              <a16:creationId xmlns:a16="http://schemas.microsoft.com/office/drawing/2014/main" id="{96EC08FD-6172-4B45-992A-A349A1F2F76C}"/>
            </a:ext>
          </a:extLst>
        </xdr:cNvPr>
        <xdr:cNvSpPr txBox="1"/>
      </xdr:nvSpPr>
      <xdr:spPr>
        <a:xfrm>
          <a:off x="12575382" y="6015041"/>
          <a:ext cx="1552576" cy="20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baseline="0">
              <a:solidFill>
                <a:sysClr val="windowText" lastClr="000000"/>
              </a:solidFill>
              <a:latin typeface="Segoe UI Semibold" panose="020B0702040204020203" pitchFamily="34" charset="0"/>
              <a:cs typeface="Segoe UI Semibold" panose="020B0702040204020203" pitchFamily="34" charset="0"/>
            </a:rPr>
            <a:t>NO OF ITEMS</a:t>
          </a:r>
          <a:endParaRPr lang="en-IN" sz="1100" b="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514135</xdr:colOff>
      <xdr:row>5</xdr:row>
      <xdr:rowOff>142875</xdr:rowOff>
    </xdr:from>
    <xdr:to>
      <xdr:col>2</xdr:col>
      <xdr:colOff>115818</xdr:colOff>
      <xdr:row>6</xdr:row>
      <xdr:rowOff>83343</xdr:rowOff>
    </xdr:to>
    <xdr:pic>
      <xdr:nvPicPr>
        <xdr:cNvPr id="29" name="Picture 28">
          <a:extLst>
            <a:ext uri="{FF2B5EF4-FFF2-40B4-BE49-F238E27FC236}">
              <a16:creationId xmlns:a16="http://schemas.microsoft.com/office/drawing/2014/main" id="{6106DA23-B31C-5381-1C37-BCEF5CC70F4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04698" y="1154906"/>
          <a:ext cx="29224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29</xdr:row>
      <xdr:rowOff>0</xdr:rowOff>
    </xdr:from>
    <xdr:to>
      <xdr:col>31</xdr:col>
      <xdr:colOff>76200</xdr:colOff>
      <xdr:row>53</xdr:row>
      <xdr:rowOff>76200</xdr:rowOff>
    </xdr:to>
    <xdr:pic>
      <xdr:nvPicPr>
        <xdr:cNvPr id="33" name="Picture 32">
          <a:extLst>
            <a:ext uri="{FF2B5EF4-FFF2-40B4-BE49-F238E27FC236}">
              <a16:creationId xmlns:a16="http://schemas.microsoft.com/office/drawing/2014/main" id="{27F6C7C3-FE61-2EAB-88C4-D4FBD6902C2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459200" y="5800725"/>
          <a:ext cx="4876800" cy="487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50008</xdr:colOff>
      <xdr:row>5</xdr:row>
      <xdr:rowOff>100012</xdr:rowOff>
    </xdr:from>
    <xdr:to>
      <xdr:col>3</xdr:col>
      <xdr:colOff>683420</xdr:colOff>
      <xdr:row>6</xdr:row>
      <xdr:rowOff>80961</xdr:rowOff>
    </xdr:to>
    <xdr:sp macro="" textlink="">
      <xdr:nvSpPr>
        <xdr:cNvPr id="36" name="TextBox 35">
          <a:extLst>
            <a:ext uri="{FF2B5EF4-FFF2-40B4-BE49-F238E27FC236}">
              <a16:creationId xmlns:a16="http://schemas.microsoft.com/office/drawing/2014/main" id="{337F3030-5253-452B-8DF1-B329E4A89C32}"/>
            </a:ext>
          </a:extLst>
        </xdr:cNvPr>
        <xdr:cNvSpPr txBox="1"/>
      </xdr:nvSpPr>
      <xdr:spPr>
        <a:xfrm>
          <a:off x="1431133" y="1112043"/>
          <a:ext cx="1323975" cy="183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6">
                  <a:lumMod val="50000"/>
                </a:schemeClr>
              </a:solidFill>
              <a:latin typeface="+mn-lt"/>
              <a:ea typeface="Segoe UI Black" panose="020B0A02040204020203" pitchFamily="34" charset="0"/>
            </a:rPr>
            <a:t>FILTER PANEL</a:t>
          </a:r>
        </a:p>
      </xdr:txBody>
    </xdr:sp>
    <xdr:clientData/>
  </xdr:twoCellAnchor>
  <xdr:twoCellAnchor editAs="oneCell">
    <xdr:from>
      <xdr:col>1</xdr:col>
      <xdr:colOff>309562</xdr:colOff>
      <xdr:row>7</xdr:row>
      <xdr:rowOff>0</xdr:rowOff>
    </xdr:from>
    <xdr:to>
      <xdr:col>4</xdr:col>
      <xdr:colOff>47625</xdr:colOff>
      <xdr:row>13</xdr:row>
      <xdr:rowOff>23813</xdr:rowOff>
    </xdr:to>
    <mc:AlternateContent xmlns:mc="http://schemas.openxmlformats.org/markup-compatibility/2006" xmlns:a14="http://schemas.microsoft.com/office/drawing/2010/main">
      <mc:Choice Requires="a14">
        <xdr:graphicFrame macro="">
          <xdr:nvGraphicFramePr>
            <xdr:cNvPr id="40" name="Outlet Size 2">
              <a:extLst>
                <a:ext uri="{FF2B5EF4-FFF2-40B4-BE49-F238E27FC236}">
                  <a16:creationId xmlns:a16="http://schemas.microsoft.com/office/drawing/2014/main" id="{3CFA8919-9FCC-491D-B437-DE375244E181}"/>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000125" y="1416844"/>
              <a:ext cx="180975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309562</xdr:colOff>
      <xdr:row>13</xdr:row>
      <xdr:rowOff>142875</xdr:rowOff>
    </xdr:from>
    <xdr:to>
      <xdr:col>4</xdr:col>
      <xdr:colOff>59531</xdr:colOff>
      <xdr:row>19</xdr:row>
      <xdr:rowOff>176212</xdr:rowOff>
    </xdr:to>
    <mc:AlternateContent xmlns:mc="http://schemas.openxmlformats.org/markup-compatibility/2006" xmlns:a14="http://schemas.microsoft.com/office/drawing/2010/main">
      <mc:Choice Requires="a14">
        <xdr:graphicFrame macro="">
          <xdr:nvGraphicFramePr>
            <xdr:cNvPr id="41" name="Outlet Location Type 1">
              <a:extLst>
                <a:ext uri="{FF2B5EF4-FFF2-40B4-BE49-F238E27FC236}">
                  <a16:creationId xmlns:a16="http://schemas.microsoft.com/office/drawing/2014/main" id="{AC516B03-FCFF-430B-B2EA-D0C271B7F47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00125" y="2774156"/>
              <a:ext cx="1821656"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309562</xdr:colOff>
      <xdr:row>20</xdr:row>
      <xdr:rowOff>35719</xdr:rowOff>
    </xdr:from>
    <xdr:to>
      <xdr:col>4</xdr:col>
      <xdr:colOff>47625</xdr:colOff>
      <xdr:row>27</xdr:row>
      <xdr:rowOff>95250</xdr:rowOff>
    </xdr:to>
    <mc:AlternateContent xmlns:mc="http://schemas.openxmlformats.org/markup-compatibility/2006" xmlns:a14="http://schemas.microsoft.com/office/drawing/2010/main">
      <mc:Choice Requires="a14">
        <xdr:graphicFrame macro="">
          <xdr:nvGraphicFramePr>
            <xdr:cNvPr id="42" name="Item Type 1">
              <a:extLst>
                <a:ext uri="{FF2B5EF4-FFF2-40B4-BE49-F238E27FC236}">
                  <a16:creationId xmlns:a16="http://schemas.microsoft.com/office/drawing/2014/main" id="{89E237B5-2ED7-438B-BC1D-D80D00F8DEF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00125" y="4083844"/>
              <a:ext cx="180975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357188</xdr:colOff>
      <xdr:row>28</xdr:row>
      <xdr:rowOff>95250</xdr:rowOff>
    </xdr:from>
    <xdr:to>
      <xdr:col>2</xdr:col>
      <xdr:colOff>142875</xdr:colOff>
      <xdr:row>30</xdr:row>
      <xdr:rowOff>178593</xdr:rowOff>
    </xdr:to>
    <xdr:pic>
      <xdr:nvPicPr>
        <xdr:cNvPr id="43" name="Picture 42">
          <a:hlinkClick xmlns:r="http://schemas.openxmlformats.org/officeDocument/2006/relationships" r:id="rId16"/>
          <a:extLst>
            <a:ext uri="{FF2B5EF4-FFF2-40B4-BE49-F238E27FC236}">
              <a16:creationId xmlns:a16="http://schemas.microsoft.com/office/drawing/2014/main" id="{4C588E80-6F2C-DFB5-553F-93C69E7144CA}"/>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047751" y="5762625"/>
          <a:ext cx="476249" cy="488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631031</xdr:colOff>
      <xdr:row>28</xdr:row>
      <xdr:rowOff>119062</xdr:rowOff>
    </xdr:from>
    <xdr:to>
      <xdr:col>3</xdr:col>
      <xdr:colOff>488155</xdr:colOff>
      <xdr:row>30</xdr:row>
      <xdr:rowOff>130968</xdr:rowOff>
    </xdr:to>
    <xdr:pic>
      <xdr:nvPicPr>
        <xdr:cNvPr id="44" name="Picture 43">
          <a:hlinkClick xmlns:r="http://schemas.openxmlformats.org/officeDocument/2006/relationships" r:id="rId18"/>
          <a:extLst>
            <a:ext uri="{FF2B5EF4-FFF2-40B4-BE49-F238E27FC236}">
              <a16:creationId xmlns:a16="http://schemas.microsoft.com/office/drawing/2014/main" id="{2FF15EC9-8046-C7A2-85EB-6ECFAF9DA2B6}"/>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012156" y="5786437"/>
          <a:ext cx="547687" cy="416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597377199076" createdVersion="8" refreshedVersion="8" minRefreshableVersion="3" recordCount="8523" xr:uid="{8F391D32-CB4F-427E-A532-DE37F2421FF9}">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64648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777B9-03DC-43F9-96E3-183B75D1980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G46:H4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3" baseItem="0" numFmtId="167"/>
  </dataFields>
  <formats count="4">
    <format dxfId="3">
      <pivotArea type="all" dataOnly="0" outline="0" fieldPosition="0"/>
    </format>
    <format dxfId="2">
      <pivotArea outline="0" collapsedLevelsAreSubtotals="1" fieldPosition="0"/>
    </format>
    <format dxfId="1">
      <pivotArea dataOnly="0" labelOnly="1" outline="0" fieldPosition="0">
        <references count="1">
          <reference field="4294967294" count="1">
            <x v="0"/>
          </reference>
        </references>
      </pivotArea>
    </format>
    <format dxfId="0">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FB6DFD-0E1A-4BC9-9A08-7544A6B396C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D46:E4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0" numFmtId="167"/>
  </dataFields>
  <formats count="4">
    <format dxfId="7">
      <pivotArea type="all" dataOnly="0" outline="0" fieldPosition="0"/>
    </format>
    <format dxfId="6">
      <pivotArea outline="0" collapsedLevelsAreSubtotals="1" fieldPosition="0"/>
    </format>
    <format dxfId="5">
      <pivotArea dataOnly="0" labelOnly="1" outline="0" fieldPosition="0">
        <references count="1">
          <reference field="4294967294" count="1">
            <x v="0"/>
          </reference>
        </references>
      </pivotArea>
    </format>
    <format dxfId="4">
      <pivotArea outline="0" fieldPosition="0">
        <references count="1">
          <reference field="4294967294" count="1">
            <x v="0"/>
          </reference>
        </references>
      </pivotArea>
    </format>
  </formats>
  <chartFormats count="13">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7"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47FF93-DB10-4FF4-AE8A-87713525BA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6"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3" numFmtId="2"/>
  </dataFields>
  <formats count="3">
    <format dxfId="10">
      <pivotArea type="all" dataOnly="0" outline="0" fieldPosition="0"/>
    </format>
    <format dxfId="9">
      <pivotArea outline="0" collapsedLevelsAreSubtotals="1" fieldPosition="0"/>
    </format>
    <format dxfId="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983FD-C691-4656-911F-E73E7F84958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D65:E6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v="2"/>
    </i>
    <i>
      <x v="3"/>
    </i>
    <i>
      <x/>
    </i>
    <i>
      <x v="1"/>
    </i>
  </rowItems>
  <colItems count="1">
    <i/>
  </colItems>
  <dataFields count="1">
    <dataField name="Count of SL No" fld="1" subtotal="count" baseField="8" baseItem="0"/>
  </dataFields>
  <formats count="2">
    <format dxfId="12">
      <pivotArea type="all" dataOnly="0" outline="0" fieldPosition="0"/>
    </format>
    <format dxfId="11">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439A23-4F71-4229-8972-86AE993A2FF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D59:E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i>
    <i>
      <x v="1"/>
    </i>
    <i>
      <x v="2"/>
    </i>
  </rowItems>
  <colItems count="1">
    <i/>
  </colItems>
  <dataFields count="1">
    <dataField name="Average of Sales" fld="11" subtotal="average" baseField="8" baseItem="3" numFmtId="168"/>
  </dataFields>
  <formats count="4">
    <format dxfId="16">
      <pivotArea type="all" dataOnly="0" outline="0" fieldPosition="0"/>
    </format>
    <format dxfId="15">
      <pivotArea outline="0" collapsedLevelsAreSubtotals="1" fieldPosition="0"/>
    </format>
    <format dxfId="14">
      <pivotArea dataOnly="0" labelOnly="1" outline="0" fieldPosition="0">
        <references count="1">
          <reference field="4294967294" count="1">
            <x v="0"/>
          </reference>
        </references>
      </pivotArea>
    </format>
    <format dxfId="13">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CE30A1-067F-4F39-961B-508A71E3472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46:B5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3" baseItem="0" numFmtId="167"/>
  </dataFields>
  <formats count="4">
    <format dxfId="20">
      <pivotArea type="all" dataOnly="0" outline="0" fieldPosition="0"/>
    </format>
    <format dxfId="19">
      <pivotArea outline="0" collapsedLevelsAreSubtotals="1" fieldPosition="0"/>
    </format>
    <format dxfId="18">
      <pivotArea dataOnly="0" labelOnly="1" outline="0" fieldPosition="0">
        <references count="1">
          <reference field="4294967294" count="1">
            <x v="0"/>
          </reference>
        </references>
      </pivotArea>
    </format>
    <format dxfId="17">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6"/>
          </reference>
        </references>
      </pivotArea>
    </chartFormat>
    <chartFormat chart="22" format="4">
      <pivotArea type="data" outline="0" fieldPosition="0">
        <references count="2">
          <reference field="4294967294" count="1" selected="0">
            <x v="0"/>
          </reference>
          <reference field="4" count="1" selected="0">
            <x v="5"/>
          </reference>
        </references>
      </pivotArea>
    </chartFormat>
    <chartFormat chart="22" format="5">
      <pivotArea type="data" outline="0" fieldPosition="0">
        <references count="2">
          <reference field="4294967294" count="1" selected="0">
            <x v="0"/>
          </reference>
          <reference field="4" count="1" selected="0">
            <x v="4"/>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1"/>
          </reference>
        </references>
      </pivotArea>
    </chartFormat>
    <chartFormat chart="22" format="9">
      <pivotArea type="data" outline="0" fieldPosition="0">
        <references count="2">
          <reference field="4294967294" count="1" selected="0">
            <x v="0"/>
          </reference>
          <reference field="4" count="1" selected="0">
            <x v="0"/>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51C448-AC87-4DEB-B42B-E3056C5455E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D53:E5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Items count="1">
    <i/>
  </colItems>
  <dataFields count="1">
    <dataField name="Sum of Sales" fld="11" baseField="3" baseItem="0" numFmtId="167"/>
  </dataFields>
  <formats count="4">
    <format dxfId="24">
      <pivotArea type="all" dataOnly="0" outline="0" fieldPosition="0"/>
    </format>
    <format dxfId="23">
      <pivotArea outline="0" collapsedLevelsAreSubtotals="1" fieldPosition="0"/>
    </format>
    <format dxfId="22">
      <pivotArea dataOnly="0" labelOnly="1" outline="0" fieldPosition="0">
        <references count="1">
          <reference field="4294967294" count="1">
            <x v="0"/>
          </reference>
        </references>
      </pivotArea>
    </format>
    <format dxfId="21">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9DE5A1-EC12-4855-9158-738021B0E5B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8:B4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0" numFmtId="167"/>
  </dataFields>
  <formats count="4">
    <format dxfId="28">
      <pivotArea type="all" dataOnly="0" outline="0" fieldPosition="0"/>
    </format>
    <format dxfId="27">
      <pivotArea outline="0" collapsedLevelsAreSubtotals="1" fieldPosition="0"/>
    </format>
    <format dxfId="26">
      <pivotArea dataOnly="0" labelOnly="1" outline="0" fieldPosition="0">
        <references count="1">
          <reference field="4294967294" count="1">
            <x v="0"/>
          </reference>
        </references>
      </pivotArea>
    </format>
    <format dxfId="25">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81383A-1732-4DDD-94A8-987FFF498A3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1:C25"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6" baseItem="0" numFmtId="167"/>
  </dataFields>
  <formats count="4">
    <format dxfId="32">
      <pivotArea type="all" dataOnly="0" outline="0" fieldPosition="0"/>
    </format>
    <format dxfId="31">
      <pivotArea outline="0" collapsedLevelsAreSubtotals="1" fieldPosition="0"/>
    </format>
    <format dxfId="30">
      <pivotArea dataOnly="0" labelOnly="1"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C62F0C-A0F5-43FD-9356-BD3B69645EA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6:B18"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4">
    <format dxfId="36">
      <pivotArea type="all" dataOnly="0" outline="0" fieldPosition="0"/>
    </format>
    <format dxfId="35">
      <pivotArea outline="0" collapsedLevelsAreSubtotals="1" fieldPosition="0"/>
    </format>
    <format dxfId="34">
      <pivotArea dataOnly="0" labelOnly="1" outline="0" fieldPosition="0">
        <references count="1">
          <reference field="4294967294" count="1">
            <x v="0"/>
          </reference>
        </references>
      </pivotArea>
    </format>
    <format dxfId="33">
      <pivotArea outline="0" fieldPosition="0">
        <references count="1">
          <reference field="4294967294" count="1">
            <x v="0"/>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33774E05-4D82-474C-8610-6703C91DD667}" sourceName="Outlet Siz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46464868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2138AD2-26A6-447A-AFA3-EB3183F7EC31}" sourceName="Outlet Location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4646486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88BA461-B3AE-434E-BEA6-D297684163C0}" sourceName="Item Type">
  <pivotTables>
    <pivotTable tabId="2" name="PivotTable8"/>
  </pivotTables>
  <data>
    <tabular pivotCacheId="146464868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FE56A439-3597-4520-9CF4-52ABA5062674}" cache="Slicer_Outlet_Size1" caption="Outlet Size" style="Blinkit Analysis" rowHeight="257175"/>
  <slicer name="Outlet Location Type 1" xr10:uid="{8ED17F36-ACCC-42C5-B69E-DAFFD766F572}" cache="Slicer_Outlet_Location_Type" caption="Outlet Location " style="Blinkit Analysis" rowHeight="257175"/>
  <slicer name="Item Type 1" xr10:uid="{A74DF52D-F38F-4CC2-8CD3-487D0D151828}" cache="Slicer_Item_Type" caption="Item Type" startItem="8"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5CBF8FF-436A-48F8-9CA3-BD5017497EE1}"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9F11-D83D-460F-8822-F18A6AA61EF5}">
  <dimension ref="A1"/>
  <sheetViews>
    <sheetView showGridLines="0" tabSelected="1" zoomScale="80" zoomScaleNormal="80" workbookViewId="0">
      <selection activeCell="W7" sqref="W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4400-4248-4478-BE4F-564E1AE3FD68}">
  <dimension ref="A2:K71"/>
  <sheetViews>
    <sheetView topLeftCell="A43" workbookViewId="0"/>
  </sheetViews>
  <sheetFormatPr defaultRowHeight="15.75" x14ac:dyDescent="0.25"/>
  <cols>
    <col min="1" max="1" width="12.375" bestFit="1" customWidth="1"/>
    <col min="2" max="2" width="11.625" bestFit="1" customWidth="1"/>
    <col min="3" max="3" width="7.5" bestFit="1" customWidth="1"/>
    <col min="4" max="4" width="16.5" bestFit="1" customWidth="1"/>
    <col min="5" max="5" width="15" bestFit="1" customWidth="1"/>
    <col min="7" max="7" width="12.375" bestFit="1" customWidth="1"/>
    <col min="8" max="8" width="11.625" bestFit="1" customWidth="1"/>
  </cols>
  <sheetData>
    <row r="2" spans="1:4" x14ac:dyDescent="0.25">
      <c r="A2" s="37" t="s">
        <v>1619</v>
      </c>
      <c r="B2" s="38"/>
      <c r="C2" s="38"/>
      <c r="D2" s="38"/>
    </row>
    <row r="3" spans="1:4" ht="16.5" thickBot="1" x14ac:dyDescent="0.3">
      <c r="A3" s="39"/>
      <c r="B3" s="39"/>
      <c r="C3" s="39"/>
      <c r="D3" s="39"/>
    </row>
    <row r="4" spans="1:4" ht="16.5" thickBot="1" x14ac:dyDescent="0.3">
      <c r="A4" s="1"/>
      <c r="B4" s="2"/>
      <c r="C4" s="2"/>
      <c r="D4" s="3"/>
    </row>
    <row r="5" spans="1:4" ht="16.5" thickBot="1" x14ac:dyDescent="0.3">
      <c r="A5" s="33" t="s">
        <v>1610</v>
      </c>
      <c r="B5" s="34" t="s">
        <v>1611</v>
      </c>
      <c r="C5" s="34" t="s">
        <v>1613</v>
      </c>
      <c r="D5" s="36" t="s">
        <v>1614</v>
      </c>
    </row>
    <row r="6" spans="1:4" ht="16.5" thickBot="1" x14ac:dyDescent="0.3">
      <c r="A6" s="33">
        <v>1201681.4928000034</v>
      </c>
      <c r="B6" s="34">
        <v>140.99278338613203</v>
      </c>
      <c r="C6" s="34">
        <v>8523</v>
      </c>
      <c r="D6" s="35">
        <v>3.9658570925731196</v>
      </c>
    </row>
    <row r="7" spans="1:4" x14ac:dyDescent="0.25">
      <c r="A7" s="4"/>
      <c r="D7" s="5"/>
    </row>
    <row r="8" spans="1:4" x14ac:dyDescent="0.25">
      <c r="A8" s="4"/>
      <c r="D8" s="5"/>
    </row>
    <row r="9" spans="1:4" x14ac:dyDescent="0.25">
      <c r="A9" s="4" t="s">
        <v>1615</v>
      </c>
      <c r="B9" t="s">
        <v>1616</v>
      </c>
      <c r="C9" t="s">
        <v>1617</v>
      </c>
      <c r="D9" s="5" t="s">
        <v>1618</v>
      </c>
    </row>
    <row r="10" spans="1:4" x14ac:dyDescent="0.25">
      <c r="A10" s="11">
        <f>GETPIVOTDATA("Sum of Sales",$A$5)</f>
        <v>1201681.4928000034</v>
      </c>
      <c r="B10" s="6">
        <f>GETPIVOTDATA("Average of Sales2",$A$5)</f>
        <v>140.99278338613203</v>
      </c>
      <c r="C10">
        <f>GETPIVOTDATA("Number of Items",$A$5)</f>
        <v>8523</v>
      </c>
      <c r="D10" s="7">
        <f>GETPIVOTDATA("Average of Rating",$A$5)</f>
        <v>3.9658570925731196</v>
      </c>
    </row>
    <row r="11" spans="1:4" ht="16.5" thickBot="1" x14ac:dyDescent="0.3">
      <c r="A11" s="8"/>
      <c r="B11" s="9"/>
      <c r="C11" s="9"/>
      <c r="D11" s="10"/>
    </row>
    <row r="15" spans="1:4" ht="16.5" thickBot="1" x14ac:dyDescent="0.3"/>
    <row r="16" spans="1:4" ht="16.5" thickBot="1" x14ac:dyDescent="0.3">
      <c r="A16" s="13" t="s">
        <v>1620</v>
      </c>
      <c r="B16" s="3" t="s">
        <v>1610</v>
      </c>
    </row>
    <row r="17" spans="1:3" x14ac:dyDescent="0.25">
      <c r="A17" s="14" t="s">
        <v>17</v>
      </c>
      <c r="B17" s="19">
        <v>776319.68840000057</v>
      </c>
    </row>
    <row r="18" spans="1:3" ht="16.5" thickBot="1" x14ac:dyDescent="0.3">
      <c r="A18" s="15" t="s">
        <v>10</v>
      </c>
      <c r="B18" s="20">
        <v>425361.8043999995</v>
      </c>
    </row>
    <row r="20" spans="1:3" ht="16.5" thickBot="1" x14ac:dyDescent="0.3"/>
    <row r="21" spans="1:3" x14ac:dyDescent="0.25">
      <c r="A21" s="13" t="s">
        <v>1610</v>
      </c>
      <c r="B21" s="21" t="s">
        <v>1621</v>
      </c>
      <c r="C21" s="3"/>
    </row>
    <row r="22" spans="1:3" ht="16.5" thickBot="1" x14ac:dyDescent="0.3">
      <c r="A22" s="12" t="s">
        <v>1620</v>
      </c>
      <c r="B22" t="s">
        <v>10</v>
      </c>
      <c r="C22" s="5" t="s">
        <v>17</v>
      </c>
    </row>
    <row r="23" spans="1:3" x14ac:dyDescent="0.25">
      <c r="A23" s="14" t="s">
        <v>14</v>
      </c>
      <c r="B23" s="23">
        <v>121349.89940000001</v>
      </c>
      <c r="C23" s="24">
        <v>215047.9126000001</v>
      </c>
    </row>
    <row r="24" spans="1:3" x14ac:dyDescent="0.25">
      <c r="A24" s="14" t="s">
        <v>34</v>
      </c>
      <c r="B24" s="25">
        <v>138685.86819999994</v>
      </c>
      <c r="C24" s="17">
        <v>254464.77940000014</v>
      </c>
    </row>
    <row r="25" spans="1:3" ht="16.5" thickBot="1" x14ac:dyDescent="0.3">
      <c r="A25" s="15" t="s">
        <v>21</v>
      </c>
      <c r="B25" s="26">
        <v>165326.0368</v>
      </c>
      <c r="C25" s="18">
        <v>306806.99640000012</v>
      </c>
    </row>
    <row r="27" spans="1:3" ht="16.5" thickBot="1" x14ac:dyDescent="0.3"/>
    <row r="28" spans="1:3" ht="16.5" thickBot="1" x14ac:dyDescent="0.3">
      <c r="A28" s="13" t="s">
        <v>1620</v>
      </c>
      <c r="B28" s="3" t="s">
        <v>1610</v>
      </c>
    </row>
    <row r="29" spans="1:3" x14ac:dyDescent="0.25">
      <c r="A29" s="14" t="s">
        <v>153</v>
      </c>
      <c r="B29" s="19">
        <v>9077.869999999999</v>
      </c>
    </row>
    <row r="30" spans="1:3" x14ac:dyDescent="0.25">
      <c r="A30" s="14" t="s">
        <v>74</v>
      </c>
      <c r="B30" s="22">
        <v>15596.696600000001</v>
      </c>
    </row>
    <row r="31" spans="1:3" x14ac:dyDescent="0.25">
      <c r="A31" s="14" t="s">
        <v>159</v>
      </c>
      <c r="B31" s="22">
        <v>21880.027399999992</v>
      </c>
    </row>
    <row r="32" spans="1:3" x14ac:dyDescent="0.25">
      <c r="A32" s="14" t="s">
        <v>64</v>
      </c>
      <c r="B32" s="22">
        <v>22451.891599999999</v>
      </c>
    </row>
    <row r="33" spans="1:11" x14ac:dyDescent="0.25">
      <c r="A33" s="14" t="s">
        <v>61</v>
      </c>
      <c r="B33" s="22">
        <v>29334.680599999996</v>
      </c>
    </row>
    <row r="34" spans="1:11" x14ac:dyDescent="0.25">
      <c r="A34" s="14" t="s">
        <v>57</v>
      </c>
      <c r="B34" s="22">
        <v>35379.119800000015</v>
      </c>
    </row>
    <row r="35" spans="1:11" x14ac:dyDescent="0.25">
      <c r="A35" s="14" t="s">
        <v>32</v>
      </c>
      <c r="B35" s="22">
        <v>58514.166999999987</v>
      </c>
    </row>
    <row r="36" spans="1:11" x14ac:dyDescent="0.25">
      <c r="A36" s="14" t="s">
        <v>54</v>
      </c>
      <c r="B36" s="22">
        <v>59449.863799999992</v>
      </c>
    </row>
    <row r="37" spans="1:11" x14ac:dyDescent="0.25">
      <c r="A37" s="14" t="s">
        <v>19</v>
      </c>
      <c r="B37" s="22">
        <v>68025.838800000012</v>
      </c>
    </row>
    <row r="38" spans="1:11" x14ac:dyDescent="0.25">
      <c r="A38" s="14" t="s">
        <v>95</v>
      </c>
      <c r="B38" s="22">
        <v>81894.736400000009</v>
      </c>
    </row>
    <row r="39" spans="1:11" x14ac:dyDescent="0.25">
      <c r="A39" s="14" t="s">
        <v>28</v>
      </c>
      <c r="B39" s="22">
        <v>90706.728999999992</v>
      </c>
    </row>
    <row r="40" spans="1:11" x14ac:dyDescent="0.25">
      <c r="A40" s="14" t="s">
        <v>67</v>
      </c>
      <c r="B40" s="22">
        <v>101276.46159999995</v>
      </c>
    </row>
    <row r="41" spans="1:11" x14ac:dyDescent="0.25">
      <c r="A41" s="14" t="s">
        <v>24</v>
      </c>
      <c r="B41" s="22">
        <v>118558.88140000009</v>
      </c>
    </row>
    <row r="42" spans="1:11" x14ac:dyDescent="0.25">
      <c r="A42" s="14" t="s">
        <v>42</v>
      </c>
      <c r="B42" s="22">
        <v>135976.52539999998</v>
      </c>
    </row>
    <row r="43" spans="1:11" x14ac:dyDescent="0.25">
      <c r="A43" s="14" t="s">
        <v>48</v>
      </c>
      <c r="B43" s="22">
        <v>175433.92240000021</v>
      </c>
    </row>
    <row r="44" spans="1:11" ht="16.5" thickBot="1" x14ac:dyDescent="0.3">
      <c r="A44" s="15" t="s">
        <v>12</v>
      </c>
      <c r="B44" s="20">
        <v>178124.08099999995</v>
      </c>
    </row>
    <row r="45" spans="1:11" ht="16.5" thickBot="1" x14ac:dyDescent="0.3"/>
    <row r="46" spans="1:11" ht="16.5" thickBot="1" x14ac:dyDescent="0.3">
      <c r="A46" s="13" t="s">
        <v>1620</v>
      </c>
      <c r="B46" s="3" t="s">
        <v>1610</v>
      </c>
      <c r="D46" s="13" t="s">
        <v>1620</v>
      </c>
      <c r="E46" s="3" t="s">
        <v>1610</v>
      </c>
      <c r="G46" s="13" t="s">
        <v>1620</v>
      </c>
      <c r="H46" s="3" t="s">
        <v>1610</v>
      </c>
    </row>
    <row r="47" spans="1:11" x14ac:dyDescent="0.25">
      <c r="A47" s="14">
        <v>2011</v>
      </c>
      <c r="B47" s="19">
        <v>78131.566599999976</v>
      </c>
      <c r="D47" s="14" t="s">
        <v>30</v>
      </c>
      <c r="E47" s="19">
        <v>248991.58600000024</v>
      </c>
      <c r="G47" s="14" t="s">
        <v>14</v>
      </c>
      <c r="H47" s="19">
        <v>336397.81199999945</v>
      </c>
      <c r="J47" t="str">
        <f t="shared" ref="J47:K49" si="0">G47</f>
        <v>Tier 1</v>
      </c>
      <c r="K47" s="16">
        <f t="shared" si="0"/>
        <v>336397.81199999945</v>
      </c>
    </row>
    <row r="48" spans="1:11" x14ac:dyDescent="0.25">
      <c r="A48" s="14">
        <v>2012</v>
      </c>
      <c r="B48" s="22">
        <v>130476.85979999998</v>
      </c>
      <c r="D48" s="14" t="s">
        <v>15</v>
      </c>
      <c r="E48" s="22">
        <v>507895.7363999993</v>
      </c>
      <c r="G48" s="14" t="s">
        <v>34</v>
      </c>
      <c r="H48" s="22">
        <v>393150.64759999956</v>
      </c>
      <c r="J48" t="str">
        <f t="shared" si="0"/>
        <v>Tier 2</v>
      </c>
      <c r="K48" s="16">
        <f t="shared" si="0"/>
        <v>393150.64759999956</v>
      </c>
    </row>
    <row r="49" spans="1:11" ht="16.5" thickBot="1" x14ac:dyDescent="0.3">
      <c r="A49" s="14">
        <v>2014</v>
      </c>
      <c r="B49" s="22">
        <v>131809.01560000007</v>
      </c>
      <c r="D49" s="15" t="s">
        <v>26</v>
      </c>
      <c r="E49" s="20">
        <v>444794.17039999936</v>
      </c>
      <c r="G49" s="15" t="s">
        <v>21</v>
      </c>
      <c r="H49" s="20">
        <v>472133.03319999954</v>
      </c>
      <c r="J49" t="str">
        <f t="shared" si="0"/>
        <v>Tier 3</v>
      </c>
      <c r="K49" s="16">
        <f t="shared" si="0"/>
        <v>472133.03319999954</v>
      </c>
    </row>
    <row r="50" spans="1:11" x14ac:dyDescent="0.25">
      <c r="A50" s="14">
        <v>2015</v>
      </c>
      <c r="B50" s="22">
        <v>130942.78019999999</v>
      </c>
    </row>
    <row r="51" spans="1:11" x14ac:dyDescent="0.25">
      <c r="A51" s="14">
        <v>2016</v>
      </c>
      <c r="B51" s="22">
        <v>132113.36980000007</v>
      </c>
    </row>
    <row r="52" spans="1:11" ht="16.5" thickBot="1" x14ac:dyDescent="0.3">
      <c r="A52" s="14">
        <v>2017</v>
      </c>
      <c r="B52" s="22">
        <v>133103.90699999989</v>
      </c>
    </row>
    <row r="53" spans="1:11" ht="16.5" thickBot="1" x14ac:dyDescent="0.3">
      <c r="A53" s="14">
        <v>2018</v>
      </c>
      <c r="B53" s="22">
        <v>204522.25700000025</v>
      </c>
      <c r="D53" s="13" t="s">
        <v>1620</v>
      </c>
      <c r="E53" s="3" t="s">
        <v>1610</v>
      </c>
    </row>
    <row r="54" spans="1:11" x14ac:dyDescent="0.25">
      <c r="A54" s="14">
        <v>2020</v>
      </c>
      <c r="B54" s="22">
        <v>129103.96039999987</v>
      </c>
      <c r="D54" s="14" t="s">
        <v>46</v>
      </c>
      <c r="E54" s="19">
        <v>130714.67460000006</v>
      </c>
    </row>
    <row r="55" spans="1:11" ht="16.5" thickBot="1" x14ac:dyDescent="0.3">
      <c r="A55" s="15">
        <v>2022</v>
      </c>
      <c r="B55" s="20">
        <v>131477.77639999994</v>
      </c>
      <c r="D55" s="14" t="s">
        <v>22</v>
      </c>
      <c r="E55" s="22">
        <v>131477.77639999994</v>
      </c>
    </row>
    <row r="56" spans="1:11" x14ac:dyDescent="0.25">
      <c r="D56" s="14" t="s">
        <v>40</v>
      </c>
      <c r="E56" s="22">
        <v>151939.149</v>
      </c>
    </row>
    <row r="57" spans="1:11" ht="16.5" thickBot="1" x14ac:dyDescent="0.3">
      <c r="D57" s="15" t="s">
        <v>16</v>
      </c>
      <c r="E57" s="20">
        <v>787549.89280000131</v>
      </c>
    </row>
    <row r="58" spans="1:11" ht="16.5" thickBot="1" x14ac:dyDescent="0.3"/>
    <row r="59" spans="1:11" ht="16.5" thickBot="1" x14ac:dyDescent="0.3">
      <c r="D59" s="13" t="s">
        <v>1620</v>
      </c>
      <c r="E59" s="3" t="s">
        <v>1622</v>
      </c>
    </row>
    <row r="60" spans="1:11" x14ac:dyDescent="0.25">
      <c r="D60" s="14" t="s">
        <v>46</v>
      </c>
      <c r="E60" s="27">
        <v>139.80179101604284</v>
      </c>
    </row>
    <row r="61" spans="1:11" x14ac:dyDescent="0.25">
      <c r="D61" s="14" t="s">
        <v>40</v>
      </c>
      <c r="E61" s="28">
        <v>140.29468975069253</v>
      </c>
    </row>
    <row r="62" spans="1:11" x14ac:dyDescent="0.25">
      <c r="D62" s="14" t="s">
        <v>16</v>
      </c>
      <c r="E62" s="28">
        <v>141.21389506903375</v>
      </c>
    </row>
    <row r="63" spans="1:11" ht="16.5" thickBot="1" x14ac:dyDescent="0.3">
      <c r="D63" s="15" t="s">
        <v>22</v>
      </c>
      <c r="E63" s="29">
        <v>141.67863836206891</v>
      </c>
    </row>
    <row r="64" spans="1:11" ht="16.5" thickBot="1" x14ac:dyDescent="0.3"/>
    <row r="65" spans="4:5" ht="16.5" thickBot="1" x14ac:dyDescent="0.3">
      <c r="D65" s="13" t="s">
        <v>1620</v>
      </c>
      <c r="E65" s="3" t="s">
        <v>1623</v>
      </c>
    </row>
    <row r="66" spans="4:5" x14ac:dyDescent="0.25">
      <c r="D66" s="14" t="s">
        <v>22</v>
      </c>
      <c r="E66" s="30">
        <v>928</v>
      </c>
    </row>
    <row r="67" spans="4:5" x14ac:dyDescent="0.25">
      <c r="D67" s="14" t="s">
        <v>46</v>
      </c>
      <c r="E67" s="31">
        <v>935</v>
      </c>
    </row>
    <row r="68" spans="4:5" x14ac:dyDescent="0.25">
      <c r="D68" s="14" t="s">
        <v>40</v>
      </c>
      <c r="E68" s="31">
        <v>1083</v>
      </c>
    </row>
    <row r="69" spans="4:5" ht="16.5" thickBot="1" x14ac:dyDescent="0.3">
      <c r="D69" s="15" t="s">
        <v>16</v>
      </c>
      <c r="E69" s="32">
        <v>5577</v>
      </c>
    </row>
    <row r="71" spans="4:5" ht="16.5" thickBot="1" x14ac:dyDescent="0.3"/>
  </sheetData>
  <mergeCells count="1">
    <mergeCell ref="A2: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Subasakthi Vaishnavi</cp:lastModifiedBy>
  <dcterms:created xsi:type="dcterms:W3CDTF">2024-06-23T13:11:17Z</dcterms:created>
  <dcterms:modified xsi:type="dcterms:W3CDTF">2026-05-19T07:11:16Z</dcterms:modified>
</cp:coreProperties>
</file>